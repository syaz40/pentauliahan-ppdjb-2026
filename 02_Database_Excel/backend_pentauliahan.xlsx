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ERTA_2025" sheetId="1" r:id="rId5"/>
    <sheet state="hidden" name="Copy of PESERTA_2025 1" sheetId="2" r:id="rId6"/>
    <sheet state="hidden" name="Copy of PESERTA_2025" sheetId="3" r:id="rId7"/>
    <sheet state="visible" name="PESERTA TIDAK HADIR" sheetId="4" r:id="rId8"/>
    <sheet state="visible" name="JENIS_PENTAULIAHAN" sheetId="5" r:id="rId9"/>
    <sheet state="visible" name="ANALISIS_TKRS" sheetId="6" r:id="rId10"/>
    <sheet state="visible" name="ANALISIS_KRS" sheetId="7" r:id="rId11"/>
    <sheet state="visible" name="MARKAH_TKRS_KAWAD" sheetId="8" r:id="rId12"/>
    <sheet state="visible" name="MARKAH_TKRS_BANTU_MULA" sheetId="9" r:id="rId13"/>
    <sheet state="visible" name="MARKAH_TKRS_IKATAN" sheetId="10" r:id="rId14"/>
    <sheet state="visible" name="MARKAH_KRS_KAWAD" sheetId="11" r:id="rId15"/>
    <sheet state="visible" name="MARKAH_KRS_BANTU_MULA" sheetId="12" r:id="rId16"/>
    <sheet state="visible" name="MARKAH_KRS_IKATAN" sheetId="13" r:id="rId17"/>
  </sheets>
  <definedNames>
    <definedName hidden="1" localSheetId="0" name="_xlnm._FilterDatabase">PESERTA_2025!$A$1:$AA$956</definedName>
    <definedName hidden="1" localSheetId="1" name="_xlnm._FilterDatabase">'Copy of PESERTA_2025 1'!$A$1:$J$18</definedName>
    <definedName hidden="1" localSheetId="2" name="_xlnm._FilterDatabase">'Copy of PESERTA_2025'!$A$1:$E$195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AppSheet:{"Type":"Enum","TypeAuxData":"{\"EnumValues\":[\"0\",\"1\",\"2\",\"3\",\"4\",\"5\"],\"EnumInputMode\":\"Buttons\",\"BaseType\":\"Number\",\"AllowOtherValues\":false}"}</t>
      </text>
    </comment>
    <comment authorId="0" ref="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K1">
      <text>
        <t xml:space="preserve">AppSheet:{"Type":"Enum","TypeAuxData":"{\"EnumValues\":[\"0\",\"1\",\"2\",\"3\"],\"EnumInputMode\":\"Buttons\",\"BaseType\":\"Number\",\"AllowOtherValues\":false}"}
</t>
      </text>
    </comment>
    <comment authorId="0" ref="L1">
      <text>
        <t xml:space="preserve">AppSheet:{"Type":"Enum","TypeAuxData":"{\"EnumValues\":[\"0\",\"1\",\"2\",\"3\"],\"EnumInputMode\":\"Buttons\",\"BaseType\":\"Number\",\"AllowOtherValues\":false}"}
</t>
      </text>
    </comment>
    <comment authorId="0" ref="M1">
      <text>
        <t xml:space="preserve">AppSheet:{"Type":"Enum","TypeAuxData":"{\"EnumValues\":[\"0\",\"1\",\"2\",\"3\"],\"EnumInputMode\":\"Buttons\",\"BaseType\":\"Number\",\"AllowOtherValues\":false}"}
</t>
      </text>
    </comment>
    <comment authorId="0" ref="N1">
      <text>
        <t xml:space="preserve">AppSheet:{"Type":"Enum","TypeAuxData":"{\"EnumValues\":[\"0\",\"1\",\"2\",\"3\"],\"EnumInputMode\":\"Buttons\",\"BaseType\":\"Number\",\"AllowOtherValues\":false}"}
</t>
      </text>
    </comment>
    <comment authorId="0" ref="O1">
      <text>
        <t xml:space="preserve">AppSheet:{"Type":"Enum","TypeAuxData":"{\"EnumValues\":[\"0\",\"1\",\"2\",\"3\"],\"EnumInputMode\":\"Buttons\",\"BaseType\":\"Number\",\"AllowOtherValues\":false}"}
</t>
      </text>
    </comment>
    <comment authorId="0" ref="P1">
      <text>
        <t xml:space="preserve">AppSheet:{"Type":"Enum","TypeAuxData":"{\"EnumValues\":[\"0\",\"1\",\"2\",\"3\"],\"EnumInputMode\":\"Buttons\",\"BaseType\":\"Number\",\"AllowOtherValues\":false}"}
</t>
      </text>
    </comment>
    <comment authorId="0" ref="Q1">
      <text>
        <t xml:space="preserve">AppSheet:{"Type":"Enum","TypeAuxData":"{\"EnumValues\":[\"0\",\"1\",\"2\",\"3\"],\"EnumInputMode\":\"Buttons\",\"BaseType\":\"Number\",\"AllowOtherValues\":false}"}
</t>
      </text>
    </comment>
    <comment authorId="0" ref="R1">
      <text>
        <t xml:space="preserve">AppSheet:{"Type":"Enum","TypeAuxData":"{\"EnumValues\":[\"0\",\"1\",\"2\",\"3\"],\"EnumInputMode\":\"Buttons\",\"BaseType\":\"Number\",\"AllowOtherValues\":false}"}
</t>
      </text>
    </comment>
    <comment authorId="0" ref="S1">
      <text>
        <t xml:space="preserve">AppSheet:{"Type":"Enum","TypeAuxData":"{\"EnumValues\":[\"0\",\"1\",\"2\",\"3\"],\"EnumInputMode\":\"Buttons\",\"BaseType\":\"Number\",\"AllowOtherValues\":false}"}
</t>
      </text>
    </comment>
    <comment authorId="0" ref="T1">
      <text>
        <t xml:space="preserve">AppSheet:{"Type":"Enum","TypeAuxData":"{\"EnumValues\":[\"0\",\"1\",\"2\",\"3\"],\"EnumInputMode\":\"Buttons\",\"BaseType\":\"Number\",\"AllowOtherValues\":false}"}
</t>
      </text>
    </comment>
    <comment authorId="0" ref="U1">
      <text>
        <t xml:space="preserve">AppSheet:{"Type":"Enum","TypeAuxData":"{\"EnumValues\":[\"0\",\"1\",\"2\",\"3\"],\"EnumInputMode\":\"Buttons\",\"BaseType\":\"Number\",\"AllowOtherValues\":false}"}
</t>
      </text>
    </comment>
    <comment authorId="0" ref="V1">
      <text>
        <t xml:space="preserve">AppSheet:{"Type":"Enum","TypeAuxData":"{\"EnumValues\":[\"0\",\"1\",\"2\",\"3\"],\"EnumInputMode\":\"Buttons\",\"BaseType\":\"Number\",\"AllowOtherValues\":false}"}
</t>
      </text>
    </comment>
    <comment authorId="0" ref="W1">
      <text>
        <t xml:space="preserve">AppSheet:{"Type":"Enum","TypeAuxData":"{\"EnumValues\":[\"0\",\"1\",\"2\",\"3\"],\"EnumInputMode\":\"Buttons\",\"BaseType\":\"Number\",\"AllowOtherValues\":false}"}
</t>
      </text>
    </comment>
    <comment authorId="0" ref="X1">
      <text>
        <t xml:space="preserve">AppSheet:{"Type":"Enum","TypeAuxData":"{\"EnumValues\":[\"0\",\"1\",\"2\",\"3\"],\"EnumInputMode\":\"Buttons\",\"BaseType\":\"Number\",\"AllowOtherValues\":false}"}
</t>
      </text>
    </comment>
    <comment authorId="0" ref="Y1">
      <text>
        <t xml:space="preserve">AppSheet:{"Type":"Enum","TypeAuxData":"{\"EnumValues\":[\"0\",\"1\",\"2\",\"3\"],\"EnumInputMode\":\"Buttons\",\"BaseType\":\"Number\",\"AllowOtherValues\":false}"}
</t>
      </text>
    </comment>
    <comment authorId="0" ref="Z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A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B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C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D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E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F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G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K1">
      <text>
        <t xml:space="preserve">AppSheet:{"Type":"Enum","TypeAuxData":"{\"EnumValues\":[\"0\",\"1\",\"2\",\"3\"],\"EnumInputMode\":\"Buttons\",\"BaseType\":\"Number\",\"AllowOtherValues\":false}"}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AppSheet:{"Type":"Enum","TypeAuxData":"{\"EnumValues\":[\"0\",\"1\",\"2\",\"3\",\"4\",\"5\"],\"EnumInputMode\":\"Buttons\",\"BaseType\":\"Number\",\"AllowOtherValues\":false}"}</t>
      </text>
    </comment>
    <comment authorId="0" ref="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K1">
      <text>
        <t xml:space="preserve">AppSheet:{"Type":"Enum","TypeAuxData":"{\"EnumValues\":[\"0\",\"1\",\"2\",\"3\"],\"EnumInputMode\":\"Buttons\",\"BaseType\":\"Number\",\"AllowOtherValues\":false}"}
</t>
      </text>
    </comment>
    <comment authorId="0" ref="L1">
      <text>
        <t xml:space="preserve">AppSheet:{"Type":"Enum","TypeAuxData":"{\"EnumValues\":[\"0\",\"1\",\"2\",\"3\"],\"EnumInputMode\":\"Buttons\",\"BaseType\":\"Number\",\"AllowOtherValues\":false}"}
</t>
      </text>
    </comment>
    <comment authorId="0" ref="M1">
      <text>
        <t xml:space="preserve">AppSheet:{"Type":"Enum","TypeAuxData":"{\"EnumValues\":[\"0\",\"1\",\"2\",\"3\"],\"EnumInputMode\":\"Buttons\",\"BaseType\":\"Number\",\"AllowOtherValues\":false}"}
</t>
      </text>
    </comment>
    <comment authorId="0" ref="N1">
      <text>
        <t xml:space="preserve">AppSheet:{"Type":"Enum","TypeAuxData":"{\"EnumValues\":[\"0\",\"1\",\"2\",\"3\"],\"EnumInputMode\":\"Buttons\",\"BaseType\":\"Number\",\"AllowOtherValues\":false}"}
</t>
      </text>
    </comment>
    <comment authorId="0" ref="O1">
      <text>
        <t xml:space="preserve">AppSheet:{"Type":"Enum","TypeAuxData":"{\"EnumValues\":[\"0\",\"1\",\"2\",\"3\"],\"EnumInputMode\":\"Buttons\",\"BaseType\":\"Number\",\"AllowOtherValues\":false}"}
</t>
      </text>
    </comment>
    <comment authorId="0" ref="P1">
      <text>
        <t xml:space="preserve">AppSheet:{"Type":"Enum","TypeAuxData":"{\"EnumValues\":[\"0\",\"1\",\"2\",\"3\"],\"EnumInputMode\":\"Buttons\",\"BaseType\":\"Number\",\"AllowOtherValues\":false}"}
</t>
      </text>
    </comment>
    <comment authorId="0" ref="Q1">
      <text>
        <t xml:space="preserve">AppSheet:{"Type":"Enum","TypeAuxData":"{\"EnumValues\":[\"0\",\"1\",\"2\",\"3\"],\"EnumInputMode\":\"Buttons\",\"BaseType\":\"Number\",\"AllowOtherValues\":false}"}
</t>
      </text>
    </comment>
    <comment authorId="0" ref="R1">
      <text>
        <t xml:space="preserve">AppSheet:{"Type":"Enum","TypeAuxData":"{\"EnumValues\":[\"0\",\"1\",\"2\",\"3\"],\"EnumInputMode\":\"Buttons\",\"BaseType\":\"Number\",\"AllowOtherValues\":false}"}
</t>
      </text>
    </comment>
    <comment authorId="0" ref="S1">
      <text>
        <t xml:space="preserve">AppSheet:{"Type":"Enum","TypeAuxData":"{\"EnumValues\":[\"0\",\"1\",\"2\",\"3\"],\"EnumInputMode\":\"Buttons\",\"BaseType\":\"Number\",\"AllowOtherValues\":false}"}
</t>
      </text>
    </comment>
    <comment authorId="0" ref="T1">
      <text>
        <t xml:space="preserve">AppSheet:{"Type":"Enum","TypeAuxData":"{\"EnumValues\":[\"0\",\"1\",\"2\",\"3\"],\"EnumInputMode\":\"Buttons\",\"BaseType\":\"Number\",\"AllowOtherValues\":false}"}
</t>
      </text>
    </comment>
    <comment authorId="0" ref="U1">
      <text>
        <t xml:space="preserve">AppSheet:{"Type":"Enum","TypeAuxData":"{\"EnumValues\":[\"0\",\"1\",\"2\",\"3\"],\"EnumInputMode\":\"Buttons\",\"BaseType\":\"Number\",\"AllowOtherValues\":false}"}
</t>
      </text>
    </comment>
    <comment authorId="0" ref="V1">
      <text>
        <t xml:space="preserve">AppSheet:{"Type":"Enum","TypeAuxData":"{\"EnumValues\":[\"0\",\"1\",\"2\",\"3\"],\"EnumInputMode\":\"Buttons\",\"BaseType\":\"Number\",\"AllowOtherValues\":false}"}
</t>
      </text>
    </comment>
    <comment authorId="0" ref="W1">
      <text>
        <t xml:space="preserve">AppSheet:{"Type":"Enum","TypeAuxData":"{\"EnumValues\":[\"0\",\"1\",\"2\",\"3\"],\"EnumInputMode\":\"Buttons\",\"BaseType\":\"Number\",\"AllowOtherValues\":false}"}
</t>
      </text>
    </comment>
    <comment authorId="0" ref="X1">
      <text>
        <t xml:space="preserve">AppSheet:{"Type":"Enum","TypeAuxData":"{\"EnumValues\":[\"0\",\"1\",\"2\",\"3\"],\"EnumInputMode\":\"Buttons\",\"BaseType\":\"Number\",\"AllowOtherValues\":false}"}
</t>
      </text>
    </comment>
    <comment authorId="0" ref="Y1">
      <text>
        <t xml:space="preserve">AppSheet:{"Type":"Enum","TypeAuxData":"{\"EnumValues\":[\"0\",\"1\",\"2\",\"3\"],\"EnumInputMode\":\"Buttons\",\"BaseType\":\"Number\",\"AllowOtherValues\":false}"}
</t>
      </text>
    </comment>
    <comment authorId="0" ref="Z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A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B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C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D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E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F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G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H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I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J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K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L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M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N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O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P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Q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R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S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T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U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V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W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X1">
      <text>
        <t xml:space="preserve">AppSheet:{"Type":"Enum","TypeAuxData":"{\"EnumValues\":[\"0\",\"1\",\"2\",\"3\"],\"EnumInputMode\":\"Buttons\",\"BaseType\":\"Number\",\"AllowOtherValues\":false}"}
</t>
      </text>
    </comment>
    <comment authorId="0" ref="AY1">
      <text>
        <t xml:space="preserve">AppSheet:{"Type":"Enum","TypeAuxData":"{\"EnumValues\":[\"0\",\"1\",\"2\",\"3\"],\"EnumInputMode\":\"Buttons\",\"BaseType\":\"Number\",\"AllowOtherValues\":false}"}
</t>
      </text>
    </comment>
  </commentList>
</comments>
</file>

<file path=xl/sharedStrings.xml><?xml version="1.0" encoding="utf-8"?>
<sst xmlns="http://schemas.openxmlformats.org/spreadsheetml/2006/main" count="7877" uniqueCount="1130">
  <si>
    <t>ID_PESERTA</t>
  </si>
  <si>
    <t>NAMA</t>
  </si>
  <si>
    <t>SEKOLAH</t>
  </si>
  <si>
    <t>JANTINA</t>
  </si>
  <si>
    <t>AGAMA</t>
  </si>
  <si>
    <t>UNIT</t>
  </si>
  <si>
    <t>KRS-LA001</t>
  </si>
  <si>
    <t>MUHAMMAD IMRAN HAQIF BIN OSMAN</t>
  </si>
  <si>
    <t>NO IC</t>
  </si>
  <si>
    <t>SMK DESA SKUDAI</t>
  </si>
  <si>
    <t>L</t>
  </si>
  <si>
    <t>ISLAM</t>
  </si>
  <si>
    <t>KATEGORI_UNIT</t>
  </si>
  <si>
    <t>KRS-LA002</t>
  </si>
  <si>
    <t>MUHAMMAD AISY AYDEN BIN MOHD ISMAHADI</t>
  </si>
  <si>
    <t>KUMPULAN_HURUF</t>
  </si>
  <si>
    <t>SMK TUN SYED NASIR ISMAIL</t>
  </si>
  <si>
    <t>NO_URUTAN</t>
  </si>
  <si>
    <t>P</t>
  </si>
  <si>
    <t>KRS-LA003</t>
  </si>
  <si>
    <t>MOHAMAD HAUZAN ANAS BIN MOHAMAD HAFIZAN</t>
  </si>
  <si>
    <t>SMK TAMAN UNIVERSITI</t>
  </si>
  <si>
    <t>UL-LD005</t>
  </si>
  <si>
    <t>KRS-LA004</t>
  </si>
  <si>
    <t>MUHAMMAD RAYYAN MIKHAIL BIN SULIMAN</t>
  </si>
  <si>
    <t>KRS-LA005</t>
  </si>
  <si>
    <t>MUHAMMAD HAZQI BIN MOHD ROFI</t>
  </si>
  <si>
    <t>SMK MOHD KHALID</t>
  </si>
  <si>
    <t>KRS-LA006</t>
  </si>
  <si>
    <t>AHMAD THAQIF BIN MOHAMAD KHAIRUL BAHRI</t>
  </si>
  <si>
    <t>MAKTAB SULTAN ABU BAKAR</t>
  </si>
  <si>
    <t>KRS-LA007</t>
  </si>
  <si>
    <t>MUHAMMAD FIRDAUS BIN JOAZAIZULFAZLI</t>
  </si>
  <si>
    <t>AHMAD FIDAIY BIN AHMAD MULYADY</t>
  </si>
  <si>
    <t>BSMM</t>
  </si>
  <si>
    <t>KRS-LA008</t>
  </si>
  <si>
    <t>AGITKUMAR A/L PREMKUMAR</t>
  </si>
  <si>
    <t>110215011178</t>
  </si>
  <si>
    <t>BUKAN ISLAM</t>
  </si>
  <si>
    <t>KRS-LA009</t>
  </si>
  <si>
    <t>AZHAD HADI BIN SAZALI</t>
  </si>
  <si>
    <t>SMK MUTIARA RINI 2</t>
  </si>
  <si>
    <t>UNIT LAIN</t>
  </si>
  <si>
    <t>A</t>
  </si>
  <si>
    <t>KRS-LA010</t>
  </si>
  <si>
    <t>MUHAMMAD YUSUP BIN MOHD KAMARUZAMAN</t>
  </si>
  <si>
    <t>KRS-LA012</t>
  </si>
  <si>
    <t>MUHAMMAD AZIL KHUZAIRI BIN HASRI</t>
  </si>
  <si>
    <t>SMK TAMAN NUSAJAYA</t>
  </si>
  <si>
    <t>MUHAMMAD LUQMAN ISKANDAR BIN ABDUL HADI</t>
  </si>
  <si>
    <t>SMA AL-QURAN WADDIN</t>
  </si>
  <si>
    <t>KRS-LA013</t>
  </si>
  <si>
    <t>MUHAMMAD NABIHAN HAKIM BIN MOHAMED NASIR</t>
  </si>
  <si>
    <t>KRS-LA014</t>
  </si>
  <si>
    <t>MOHAMAD FARIS IZZAT BIN MOHD ADIB</t>
  </si>
  <si>
    <t>SMK TAMAN SELESA JAYA</t>
  </si>
  <si>
    <t>KADET REMAJA SEKOLAH</t>
  </si>
  <si>
    <t>KRS-LA015</t>
  </si>
  <si>
    <t>IKHMAL ISKANDAR BIN MUHAMMAD FAIRIL</t>
  </si>
  <si>
    <t>SMK GELANG PATAH</t>
  </si>
  <si>
    <t>KRS-LA016</t>
  </si>
  <si>
    <t>KRS</t>
  </si>
  <si>
    <t>MUHD SYAFIE SOLEH BIN KAMARUL</t>
  </si>
  <si>
    <t>KRS-LA017</t>
  </si>
  <si>
    <t>KHAIRUL LUTFIL HADI BIN KHAIRUL BARKHTIAR</t>
  </si>
  <si>
    <t>KRS-LA018</t>
  </si>
  <si>
    <t>MUHAMMAD KHAIRUL ZAKWAN BIN ZURAIDI</t>
  </si>
  <si>
    <t>KRS-LA019</t>
  </si>
  <si>
    <t>MUHAMMAD ADHWAN RAFIQ BIN MOHAMED JAMAL</t>
  </si>
  <si>
    <t>KRS-LA020</t>
  </si>
  <si>
    <t>MUHAMMAD ADIB ILHAM BIN SHAHNIZAN</t>
  </si>
  <si>
    <t>LOSHAN SHANMUGAM</t>
  </si>
  <si>
    <t>SMK AMINUDDIN BAKI</t>
  </si>
  <si>
    <t>KRS-LA022</t>
  </si>
  <si>
    <t>MOHAMAD ALIF NAIM BIN KHAIRUSSALLEH</t>
  </si>
  <si>
    <t>KRS-LB001</t>
  </si>
  <si>
    <t>AQIL HARIS BIN SAHRI</t>
  </si>
  <si>
    <t>KRS-LB002</t>
  </si>
  <si>
    <t>MOHAMAD YUSRI BIN MUHAMMAD SHOFIAN SHAH</t>
  </si>
  <si>
    <t>KRS-LB003</t>
  </si>
  <si>
    <t>MUHAMMAD AMMAR RAFIQ BIN MUHAMAD ROZAI RAFIQ</t>
  </si>
  <si>
    <t>MUHAMMAD DANISH BIN SUHEMI</t>
  </si>
  <si>
    <t>SMK DAMAI JAYA</t>
  </si>
  <si>
    <t>KRS-LB004</t>
  </si>
  <si>
    <t>MUHAMMAD FARIS HAIDAR BIN MOHD FIRDAUSE</t>
  </si>
  <si>
    <t>KRS-LB005</t>
  </si>
  <si>
    <t>MUHAMMAD HAZIM MUZZAMMIL BIN NAZRUL IZZAD</t>
  </si>
  <si>
    <t>SMK BANDAR UDA UTAMA</t>
  </si>
  <si>
    <t>KRS-LB006</t>
  </si>
  <si>
    <t>DIINESH RAAJ A/L SUBRAMANIAM</t>
  </si>
  <si>
    <t>MUHAMMAD ADAM BIN MOHD NAPIS</t>
  </si>
  <si>
    <t>KRS-LB007</t>
  </si>
  <si>
    <t>SMK DATO ABDUL RAHMAN YASSIN</t>
  </si>
  <si>
    <t>ADAM AEMRAN BIN AFFENDY</t>
  </si>
  <si>
    <t>KRS-LB008</t>
  </si>
  <si>
    <t>DEYONIC BIN ABDULLAH</t>
  </si>
  <si>
    <t>KRS-LB010</t>
  </si>
  <si>
    <t>NUR DANIA QALEESYA BINTI MOHD DIAH</t>
  </si>
  <si>
    <t>MUHAMMAD ADAM FITRI BIN MOHD FAIZ</t>
  </si>
  <si>
    <t>KRS-LB011</t>
  </si>
  <si>
    <t>SMK DATO' JAAFAR</t>
  </si>
  <si>
    <t>DARREN HELVIROSSI ANAK MAN</t>
  </si>
  <si>
    <t>KRS-LB012</t>
  </si>
  <si>
    <t>MUHAMMAD RAYYAN IRFAN BIN MOHD RAZALI</t>
  </si>
  <si>
    <t>KRS-LB013</t>
  </si>
  <si>
    <t>ADAM IMAN BIN MOHD AZLAN</t>
  </si>
  <si>
    <t>UL-LD006</t>
  </si>
  <si>
    <t>KINSTON A/L RAJU</t>
  </si>
  <si>
    <t>KRS-LB014</t>
  </si>
  <si>
    <t>TARMIMI ARJUNA BIN MOHD FAIZAL</t>
  </si>
  <si>
    <t>SYAHRUL AIMAN AKHIRI BIN ABD LATIP</t>
  </si>
  <si>
    <t>KRS-LB015</t>
  </si>
  <si>
    <t>MUHAMMAD QABEER AQEEL BIN HISHAMUDDIN</t>
  </si>
  <si>
    <t>KRS-LB016</t>
  </si>
  <si>
    <t>MUHAMMAD TASNIM INAS BIN ABDULLAH</t>
  </si>
  <si>
    <t>KRS-LB017</t>
  </si>
  <si>
    <t>UL-LD007</t>
  </si>
  <si>
    <t>AHMAD RIZQI BIN AHMAD SABQI</t>
  </si>
  <si>
    <t>PEARETHISSWARAN A/L SUBRAMANIAM</t>
  </si>
  <si>
    <t>AHMAD ZAKWAN HARITH BIN INDRA</t>
  </si>
  <si>
    <t>100928011005</t>
  </si>
  <si>
    <t>KRS-LB018</t>
  </si>
  <si>
    <t>MUHAMMAD SYAKIRRURAHMAN BIN MOHD SYADIDI</t>
  </si>
  <si>
    <t>KRS-LB019</t>
  </si>
  <si>
    <t>HADIFHAIMAN BIN HAIRULNIZAM</t>
  </si>
  <si>
    <t>SMK MUTIARA RINI</t>
  </si>
  <si>
    <t>UL-LD010</t>
  </si>
  <si>
    <t>KRS-LB020</t>
  </si>
  <si>
    <t>SHEIK IMAN BIN SHEIKH MOHAYUDDIN</t>
  </si>
  <si>
    <t>SAIFUL HAZRIQ BIN MOHD NURHIZWAN</t>
  </si>
  <si>
    <t>ADAM MUKHRIZ BIN RIZAL</t>
  </si>
  <si>
    <t>KRS-LB021</t>
  </si>
  <si>
    <t>SMK MAJIDI BARU 2</t>
  </si>
  <si>
    <t>SYAHRUL HAFIZH BIN JAFHAIRUDDIN</t>
  </si>
  <si>
    <t>KRS-LB022</t>
  </si>
  <si>
    <t>MUHAMMAD AINUL HAIQAL BIN KAMAL NADSRUL</t>
  </si>
  <si>
    <t>UL-LD014</t>
  </si>
  <si>
    <t>KRS-PA024</t>
  </si>
  <si>
    <t>MUHAMMAD HASIF DANIAL BIN ZURIMAN</t>
  </si>
  <si>
    <t>ALYA AFIQAH BINTI ZAINOLAZIZI</t>
  </si>
  <si>
    <t>SEKOLAH TUN FATIMAH</t>
  </si>
  <si>
    <t>KADET POLIS</t>
  </si>
  <si>
    <t>KRS-PA025</t>
  </si>
  <si>
    <t>B</t>
  </si>
  <si>
    <t>NUR ATHIRAH BINTI HAIRUL NIZAM</t>
  </si>
  <si>
    <t>ARIF ASYRAF BIN AZIZAN</t>
  </si>
  <si>
    <t>SMK SKUDAI</t>
  </si>
  <si>
    <t>KRS-PA027</t>
  </si>
  <si>
    <t>UL-LD015</t>
  </si>
  <si>
    <t>HALIMATUN SAADIAH BINTI MUHAMMAD</t>
  </si>
  <si>
    <t>KESAVAN A/L SELVEM</t>
  </si>
  <si>
    <t>KRS-PA028</t>
  </si>
  <si>
    <t>ALYA KARINIA BINTI KABRIN</t>
  </si>
  <si>
    <t>KRS-PA029</t>
  </si>
  <si>
    <t>NUR IMAN TIHANI BINTI NOR HAIMI</t>
  </si>
  <si>
    <t>UL-LD017</t>
  </si>
  <si>
    <t>KRS-PA030</t>
  </si>
  <si>
    <t>MUHAMMAD NUR IMAN BIN AMRY</t>
  </si>
  <si>
    <t>HAIZAT IRSYAD BIN MAZLAN</t>
  </si>
  <si>
    <t>INTAN MAHIRAH BINTI MOHAMMAD MARZUQI</t>
  </si>
  <si>
    <t>SMK DATO USMAN AWANG</t>
  </si>
  <si>
    <t>100303010053</t>
  </si>
  <si>
    <t>KRS-PA031</t>
  </si>
  <si>
    <t>EVYFYENNA MEA BINTI JUANTIN</t>
  </si>
  <si>
    <t>KRS-PA032</t>
  </si>
  <si>
    <t>KASHWINI A/P KANNAN</t>
  </si>
  <si>
    <t>SMK SULTAN ISMAIL</t>
  </si>
  <si>
    <t>UL-LD019</t>
  </si>
  <si>
    <t>DARWISY FIRDAUS BIN MUBARAK</t>
  </si>
  <si>
    <t>KRS-PA033</t>
  </si>
  <si>
    <t>NOR ANIS AISYAA BINTI MOHAMAD</t>
  </si>
  <si>
    <t>KRS-LA011</t>
  </si>
  <si>
    <t>MUHAMMAD DARIAN HILMY BIN MOHD HAFIZ</t>
  </si>
  <si>
    <t>KRS-PA034</t>
  </si>
  <si>
    <t>NUR ATHILAH ALESSYA BINTI MOHAMMAD ROHAIZAL</t>
  </si>
  <si>
    <t>C</t>
  </si>
  <si>
    <t>KRS-PA035</t>
  </si>
  <si>
    <t>NORAIN DANIEYA BINTI MOHD FAUZI</t>
  </si>
  <si>
    <t>UL-LD022</t>
  </si>
  <si>
    <t>BHAVISH A/L RAJA</t>
  </si>
  <si>
    <t>KRS-PA036</t>
  </si>
  <si>
    <t>QAIRINA QALESYA BINTI MAHASIR</t>
  </si>
  <si>
    <t>ST JOHN</t>
  </si>
  <si>
    <t>MUHAMMAD IDLAN SYAFIQ BIN MOHD TAHIR</t>
  </si>
  <si>
    <t>KRS-PA037</t>
  </si>
  <si>
    <t>SITI NORLIEANA BINTI MOHD JAMIL</t>
  </si>
  <si>
    <t>KRS-PA038</t>
  </si>
  <si>
    <t>SITI NUR KARINA BINTI MOHD ERMY</t>
  </si>
  <si>
    <t>UL-LD045</t>
  </si>
  <si>
    <t>ALIFF HAIQAL BIN AZHAR</t>
  </si>
  <si>
    <t>KRS-PA039</t>
  </si>
  <si>
    <t>PENGAKAP</t>
  </si>
  <si>
    <t>NUR AMIRAH ATIQAH BINTI AZLI</t>
  </si>
  <si>
    <t>ONG ZE JING</t>
  </si>
  <si>
    <t>KRS-PA040</t>
  </si>
  <si>
    <t>NUR AMNA SUMAIYAH BINTI MUHAMMAD RIDHWAN</t>
  </si>
  <si>
    <t>UL-LD046</t>
  </si>
  <si>
    <t>KRS-PA041</t>
  </si>
  <si>
    <t>MUHAMMAD HADI MIRZA BIN MOHD NUR SHAIRRAY</t>
  </si>
  <si>
    <t>NUR AMNANI KAIYISAH SAFIYYAH BINTI YUSRIZAL</t>
  </si>
  <si>
    <t>KRS-PA042</t>
  </si>
  <si>
    <t>RAISHA ADZELIA BINTI SA'DUDDIN</t>
  </si>
  <si>
    <t>HANIF IQHRAM BIN ABDULLAH</t>
  </si>
  <si>
    <t>SMK SRI RAHMAT</t>
  </si>
  <si>
    <t>KRS-PA043</t>
  </si>
  <si>
    <t>UL-LD050</t>
  </si>
  <si>
    <t>AISYAH AMANI BINTI AZLAN SHAH</t>
  </si>
  <si>
    <t>MUHAMMAD HAIKAL BIN MUHAMMAD HANAFI</t>
  </si>
  <si>
    <t>KRS-PA044</t>
  </si>
  <si>
    <t>PUTRI NUR QASEH BALQIS BINTI MOHD DEDE AFFENDI</t>
  </si>
  <si>
    <t>KRS-PA045</t>
  </si>
  <si>
    <t>NUR JANNAH BINTI AKTAR</t>
  </si>
  <si>
    <t>UL-LD051</t>
  </si>
  <si>
    <t>BRYAN EZEKIELRAJ A/L MOSES</t>
  </si>
  <si>
    <t>KRS-PA046</t>
  </si>
  <si>
    <t>SAISHARAN A/L TAMILARASAN</t>
  </si>
  <si>
    <t>PUTERI IERMA NATASHAH BINTI ABDULLAH</t>
  </si>
  <si>
    <t>KRS-PA047</t>
  </si>
  <si>
    <t>NUR ALEESYA AMANI BINTI AIDIR</t>
  </si>
  <si>
    <t>UL-LD052</t>
  </si>
  <si>
    <t>KRS-PA048</t>
  </si>
  <si>
    <t>SHIDAYSH A/L GANESH</t>
  </si>
  <si>
    <t>MELISSA AMANDA TEH BINTI MOHD RIDZUAN TEH</t>
  </si>
  <si>
    <t>KRS-PA049</t>
  </si>
  <si>
    <t>DZAFIRAH AQILAH BINTI AHMAD AMBIAH</t>
  </si>
  <si>
    <t>FATH DARIS AYMAN BIN ABDULLAH</t>
  </si>
  <si>
    <t>SMK TAMAN DESA SKUDAI</t>
  </si>
  <si>
    <t>UL-LD055</t>
  </si>
  <si>
    <t>ABU ZHAR BIN ZAINAL</t>
  </si>
  <si>
    <t>KRS-PA050</t>
  </si>
  <si>
    <t>NOR FARRAH ATIRA BINTI MUHAMMAD FAHURAZI</t>
  </si>
  <si>
    <t>D</t>
  </si>
  <si>
    <t>KRS-PB024</t>
  </si>
  <si>
    <t>NUR QISYA AMANDA BINTI ZAINURIN</t>
  </si>
  <si>
    <t>UL-PD001</t>
  </si>
  <si>
    <t>SAKINAH BINTI ROSLAN</t>
  </si>
  <si>
    <t>KRS-PB025</t>
  </si>
  <si>
    <t>MICHAEL CHACE HUFANCIA BIN CLAYTON</t>
  </si>
  <si>
    <t>SMK TAMAN MUTIARA RINI 2</t>
  </si>
  <si>
    <t>NURUL ALEEYSA MAISARAH BINTI HAYATULDDIN MASO’D</t>
  </si>
  <si>
    <t>P0235573B</t>
  </si>
  <si>
    <t>KRS-PB026</t>
  </si>
  <si>
    <t>SABRINA A/P SOLOMON CHARLES</t>
  </si>
  <si>
    <t>UL-PD002</t>
  </si>
  <si>
    <t>LUCYA ANAK GROVER</t>
  </si>
  <si>
    <t>KRS-PB027</t>
  </si>
  <si>
    <t>HANA HAFIZAH BINTI MOHD HAFIZ</t>
  </si>
  <si>
    <t>ASYRAF HANAFI BIN HALIM</t>
  </si>
  <si>
    <t>KRS-PB028</t>
  </si>
  <si>
    <t>MUHAMMAD ZARIQ QAYYUM BIN ROSMAN</t>
  </si>
  <si>
    <t>UL-PD003</t>
  </si>
  <si>
    <t>KRS-PB029</t>
  </si>
  <si>
    <t>AFIFA FITIYA BINTI MD REDZUAN</t>
  </si>
  <si>
    <t>SHULAKHSHERNY A/P BALARAMAN</t>
  </si>
  <si>
    <t>SMK IJ CONVENT</t>
  </si>
  <si>
    <t>KRS-PB030</t>
  </si>
  <si>
    <t>NUR AINUL NAJIHA AZZARQA BINTI ABDUL WALIYY</t>
  </si>
  <si>
    <t>KRS-PB031</t>
  </si>
  <si>
    <t>NURFIRZANAH BINTI NAZARUDDIN</t>
  </si>
  <si>
    <t>UL-PD012</t>
  </si>
  <si>
    <t>MUHAMMAD ADAM DARWISY BIN MUHAMAD RAFFI</t>
  </si>
  <si>
    <t>MIA DANISYA ADRIANA BINTI MD FAIRUZ</t>
  </si>
  <si>
    <t>KRS-PB032</t>
  </si>
  <si>
    <t>NUR RANIAH BINTI MUHAIZAN</t>
  </si>
  <si>
    <t>KRS-PB033</t>
  </si>
  <si>
    <t>SAVANNAH SIM</t>
  </si>
  <si>
    <t>KRS-PB035</t>
  </si>
  <si>
    <t>UL-PD016</t>
  </si>
  <si>
    <t>SAMANTHA A/P SOLOMON CHARLES</t>
  </si>
  <si>
    <t>SITI NUR HANI RANIA BINTI ABDUL RASHID</t>
  </si>
  <si>
    <t>KRS-PB036</t>
  </si>
  <si>
    <t>MUHAMMAD DAFIE BAIHAQIE BIN MOHD SHAHIZAL</t>
  </si>
  <si>
    <t>SITI NUR SOLEHAH BINTI ABU SAMAH</t>
  </si>
  <si>
    <t>KRS-PB037</t>
  </si>
  <si>
    <t>NUR FARAHANI ALESYA BINTI NORBAHAGIA</t>
  </si>
  <si>
    <t>UL-PD020</t>
  </si>
  <si>
    <t>NUR RANIYAH BINTI DARULHEISHAM</t>
  </si>
  <si>
    <t>KRS-PB038</t>
  </si>
  <si>
    <t>NUR SAKIENA BINTI MOHD NUR</t>
  </si>
  <si>
    <t>KRS-PB039</t>
  </si>
  <si>
    <t>NUR 'AAISYAH HAAFIZHAH BINTI MOHD ZAKI</t>
  </si>
  <si>
    <t>KRS-LA021</t>
  </si>
  <si>
    <t>MUHAMMAD NUR IZZANI BIN ZAMRI</t>
  </si>
  <si>
    <t>KRS-PB040</t>
  </si>
  <si>
    <t>UL-PD021</t>
  </si>
  <si>
    <t>NUR AMIRATUN INSYIRAH BINTI MOHAMAD ERWAN</t>
  </si>
  <si>
    <t>NURUL HAFIZAH BINTI ANUAR</t>
  </si>
  <si>
    <t>KRS-PB041</t>
  </si>
  <si>
    <t>NUR QASEH LATEFFA BINTI MOHD LATIFF</t>
  </si>
  <si>
    <t>KRS-PB042</t>
  </si>
  <si>
    <t>HANI BALQIS BINTI MOHD HAZALY</t>
  </si>
  <si>
    <t>UL-PD023</t>
  </si>
  <si>
    <t>KRS-PB043</t>
  </si>
  <si>
    <t>PEE YU TING</t>
  </si>
  <si>
    <t>NURUL DINAS FARISHA BINTI MD.SHAHRIL</t>
  </si>
  <si>
    <t>MUHAMMAD ZILL QAYYIM BIN MOHD RAZALI</t>
  </si>
  <si>
    <t>KRS-PB044</t>
  </si>
  <si>
    <t>NUR QISHA QAISARA BINTI NADIRUL FAZLI</t>
  </si>
  <si>
    <t>KRS-PB045</t>
  </si>
  <si>
    <t>AINUL MARDHIYYAH BINTI HAIRUL</t>
  </si>
  <si>
    <t>UL-PD024</t>
  </si>
  <si>
    <t>TAN XUAN LING</t>
  </si>
  <si>
    <t>KRS-PB046</t>
  </si>
  <si>
    <t>121212012371</t>
  </si>
  <si>
    <t>BATRISYIA NURRAHMAN BINTI ABDULLAH</t>
  </si>
  <si>
    <t>KRS-LA023</t>
  </si>
  <si>
    <t>KRS-PB047</t>
  </si>
  <si>
    <t>MUHAMMAD HAFIZ HAZIM BIN MOHD KAMARULSAFUAN</t>
  </si>
  <si>
    <t>NORSHAFIRA NAJWA BINTI SHAHRIZAN</t>
  </si>
  <si>
    <t>SMK TAMAN TUN AMINAH</t>
  </si>
  <si>
    <t>KRS-PB048</t>
  </si>
  <si>
    <t>UL-PD025</t>
  </si>
  <si>
    <t>NUR QISTINA BATRYSYA BINTI ROZAINI</t>
  </si>
  <si>
    <t>PEE YU WEI</t>
  </si>
  <si>
    <t>KRS-PB049</t>
  </si>
  <si>
    <t>ZAFEERAH RIFQAH BINTI ZUL FADZLY</t>
  </si>
  <si>
    <t>TKRS-LC001</t>
  </si>
  <si>
    <t>MUHAMMAD MIKAIL BIN MUHAMMAD FAZREE</t>
  </si>
  <si>
    <t>SK TAMAN MUTIARA RINI</t>
  </si>
  <si>
    <t>UL-PD026</t>
  </si>
  <si>
    <t>KRS-LA024</t>
  </si>
  <si>
    <t>TAY ENN</t>
  </si>
  <si>
    <t>MUHAMMAD ZAHIRUL HAZIQ BIN ZIN AZMAN</t>
  </si>
  <si>
    <t>SMK TAMAN UNIVERISITI</t>
  </si>
  <si>
    <t>TKRS-LC002</t>
  </si>
  <si>
    <t>MUHAMMAD HADIF BIN HERMANYUZI</t>
  </si>
  <si>
    <t>SK NONG CHIK</t>
  </si>
  <si>
    <t>TKRS-LC003</t>
  </si>
  <si>
    <t>KHAIRI AIMAN BIN KIMAR</t>
  </si>
  <si>
    <t>SRAB JOHOR BAHRU</t>
  </si>
  <si>
    <t>UL-PD027</t>
  </si>
  <si>
    <t>LIONG ZHI QI</t>
  </si>
  <si>
    <t>TKRS-LC004</t>
  </si>
  <si>
    <t>KRS-LA025</t>
  </si>
  <si>
    <t>MUHAMMAD AIDIL ZAFRAN BIN MOHD ZAHAR</t>
  </si>
  <si>
    <t>MOHAMAD AMIRUDDIN ASYRAF BIN MOHAMAD ZAMRI</t>
  </si>
  <si>
    <t>SMK TAMAN UNIVERSITI 2</t>
  </si>
  <si>
    <t>TKRS-LC005</t>
  </si>
  <si>
    <t>UL-PD033</t>
  </si>
  <si>
    <t>MUHAMMAD ILHAM SYAKIR BIN MOHD KHAIRI</t>
  </si>
  <si>
    <t>ALEESYA NURHUSNA BINTI MOHD FAUZI</t>
  </si>
  <si>
    <t>PANDU PUTERI</t>
  </si>
  <si>
    <t>TKRS-LC006</t>
  </si>
  <si>
    <t>MUHD AQIL AZLI</t>
  </si>
  <si>
    <t>TKRS-LC007</t>
  </si>
  <si>
    <t>ADAM ZAFRIL BIN ABDUL HAKIM</t>
  </si>
  <si>
    <t>KRS-LA026</t>
  </si>
  <si>
    <t>SK MOHD KHIR JOHARI</t>
  </si>
  <si>
    <t>NISHAL RAO A/L VIKNES RAO</t>
  </si>
  <si>
    <t>SMK TASEK UTARA 2</t>
  </si>
  <si>
    <t>UL-PD034</t>
  </si>
  <si>
    <t>TKRS-LC008</t>
  </si>
  <si>
    <t xml:space="preserve">ELLA EMIELYNA </t>
  </si>
  <si>
    <t>MUHAMMAD MUJAHID BIN MUHAMMAD MU'ADZ</t>
  </si>
  <si>
    <t>SK PERLING 2</t>
  </si>
  <si>
    <t>TKRS-LC009</t>
  </si>
  <si>
    <t>SHAIF FAHIEM ANAQI</t>
  </si>
  <si>
    <t>TKRS-LC010</t>
  </si>
  <si>
    <t>MUHAMMAD ELMAN QALISH BIN MOHD AQMAL</t>
  </si>
  <si>
    <t>SK TAMAN PELANGI</t>
  </si>
  <si>
    <t>UL-PD040</t>
  </si>
  <si>
    <t>KRS-LA027</t>
  </si>
  <si>
    <t>MUHAMMAD AMINUL BIN MUSTAFFA KAMAL</t>
  </si>
  <si>
    <t>DHURAR NADHIRAH BINTI SUHAIMI</t>
  </si>
  <si>
    <t>TKRS-LC011</t>
  </si>
  <si>
    <t>MUHAMMAD ALIF HAIKAL BIN MOHAMAAD FAISAL</t>
  </si>
  <si>
    <t>SK SERI MELATI</t>
  </si>
  <si>
    <t>PUTERI ISLAM</t>
  </si>
  <si>
    <t>TKRS-LC012</t>
  </si>
  <si>
    <t>MUHAMMAD FIRAS ADHAM BIN MOHD ABDULLAH</t>
  </si>
  <si>
    <t>SK TAMAN UNIVERSITI 1</t>
  </si>
  <si>
    <t>TKRS-LC013</t>
  </si>
  <si>
    <t>MUHAMMAD FIRAS MUAZ BIN MARDIN</t>
  </si>
  <si>
    <t>SK TAMAN TAMPOI UTAMA</t>
  </si>
  <si>
    <t>TKRS-LC014</t>
  </si>
  <si>
    <t>KRS-LA028</t>
  </si>
  <si>
    <t>MUHAMMAD AMMAR SHAH BIN ABDULLAH SANI</t>
  </si>
  <si>
    <t>MUHAMMAD SAIF BIN SHAMSHUL BAHRI</t>
  </si>
  <si>
    <t>TKRS-LC015</t>
  </si>
  <si>
    <t>TUAN MUHAMMAD FAIZ PETRA BIN TUAN MOHD KHAIRUL NIZAM</t>
  </si>
  <si>
    <t>SK SRI SKUDAI</t>
  </si>
  <si>
    <t>TKRS-LC017</t>
  </si>
  <si>
    <t>MUHAMMAD SYAKIR NAIM BIN MOHD FARHAN</t>
  </si>
  <si>
    <t>TKRS-LC018</t>
  </si>
  <si>
    <t>IZZUL IHSAN BIN MOHD AMINUR AZIM</t>
  </si>
  <si>
    <t>MUHAMMAD SALAHUDDIN BIN HANIFF</t>
  </si>
  <si>
    <t>TKRS-LC019</t>
  </si>
  <si>
    <t>AHMAD AMMAR</t>
  </si>
  <si>
    <t>TKRS-LC020</t>
  </si>
  <si>
    <t>MUHAMMAD FAHRIN BIN KHAIRUL FAIZAL</t>
  </si>
  <si>
    <t>SK TAMAN PERLING</t>
  </si>
  <si>
    <t>TKRS-LC022</t>
  </si>
  <si>
    <t>MUHD AMMAR FARUQ</t>
  </si>
  <si>
    <t>TKRS-LC023</t>
  </si>
  <si>
    <t>MUHAMMAD HADWAN JAZALI BIN MOHD HISHAM</t>
  </si>
  <si>
    <t>AHMAD FARID FAHMI BIN ALI FAUZI</t>
  </si>
  <si>
    <t>SK TAMAN TUN AMINAH</t>
  </si>
  <si>
    <t>SMK BANDAR UDA UTAMA JB</t>
  </si>
  <si>
    <t>TKRS-LC024</t>
  </si>
  <si>
    <t>MUHAMMAD AMMAR SYADIF BIN ABDULLAH</t>
  </si>
  <si>
    <t>TKRS-LC026</t>
  </si>
  <si>
    <t>MUHAMMAD SYARAF BIN MOHD SYAFIE</t>
  </si>
  <si>
    <t>TKRS-LC027</t>
  </si>
  <si>
    <t>MUHAMMAD SYAHRUL KAHFI BIN SYAHRUDDIN</t>
  </si>
  <si>
    <t>TKRS-LC028</t>
  </si>
  <si>
    <t>AMMAR DANISH</t>
  </si>
  <si>
    <t>MUHAMMAD AQEEF FIRZAN BIN FAIRUZ AZZUAN</t>
  </si>
  <si>
    <t>TKRS-LC029</t>
  </si>
  <si>
    <t>ADAM ISKANDAR BIN MOHD ANWAR SHAHRIR</t>
  </si>
  <si>
    <t>TKRS-LC032</t>
  </si>
  <si>
    <t>MUHAMMAD SYAKIR BIN MOHD RAZMI</t>
  </si>
  <si>
    <t>SK KG MAJU JAYA</t>
  </si>
  <si>
    <t>TKRS-LC033</t>
  </si>
  <si>
    <t>MUHAMMAD TAUFIQ RAIHAN BIN MUHAMMAD RAMLEE</t>
  </si>
  <si>
    <t>MUHAMMAD HAFIZAL BIN ROHAIZAN</t>
  </si>
  <si>
    <t>TKRS-LC034</t>
  </si>
  <si>
    <t>MUHAMMAD IKRAM BIN ELMI SYOVIAN</t>
  </si>
  <si>
    <t>SK KOMPLEKS UDA</t>
  </si>
  <si>
    <t>TKRS-PC035</t>
  </si>
  <si>
    <t>NUR AMNI INSYIRAH BINTI MOHD FIRDAUS</t>
  </si>
  <si>
    <t>TKRS-PC036</t>
  </si>
  <si>
    <t>SUMAYYAH MUNAWWARAH BINTI SUHAIRI</t>
  </si>
  <si>
    <t>TKRS-PC038</t>
  </si>
  <si>
    <t>HANA IMANI BINTI MUHAMMAD HASBULLAH</t>
  </si>
  <si>
    <t>MUHAMMAD AFKAR IQBAL BIN MOHD IZWANI</t>
  </si>
  <si>
    <t>TKRS-PC039</t>
  </si>
  <si>
    <t>NUR SAFIYYA SUMAYYAH BINTI MOHD HAZRUL</t>
  </si>
  <si>
    <t>TKRS-PC040</t>
  </si>
  <si>
    <t>QASEH AIMY BINTI AIZAT ARIFFIN</t>
  </si>
  <si>
    <t>SK(P) SULTAN IBRAHIM</t>
  </si>
  <si>
    <t>TKRS-PC041</t>
  </si>
  <si>
    <t>ZUYYIN AAFIYAH BINTI MOHMAD BERDAWI</t>
  </si>
  <si>
    <t>TKRS-PC043</t>
  </si>
  <si>
    <t>IZZ QIESYA BINTI MUHAMMAD IZWAN</t>
  </si>
  <si>
    <t>AMMAR DANIAL BIN ABDULLAH</t>
  </si>
  <si>
    <t>SMK DATO' USMAN AWANG</t>
  </si>
  <si>
    <t>TKRS-PC044</t>
  </si>
  <si>
    <t>HAWA UMAIRAH BINTI KHAIRUL FADZLY</t>
  </si>
  <si>
    <t>TKRS-PC045</t>
  </si>
  <si>
    <t>NURUL HAJAR BINTI HASBULJALIL</t>
  </si>
  <si>
    <t>TKRS-PC046</t>
  </si>
  <si>
    <t>NUR DHIYA ALISHA BINTI MD SANI</t>
  </si>
  <si>
    <t>TKRS-PC047</t>
  </si>
  <si>
    <t>JONATHAN NG BOH XIAN</t>
  </si>
  <si>
    <t>HUSNA RAIHANAH BINTI SHAHUDIN</t>
  </si>
  <si>
    <t>TKRS-PC049</t>
  </si>
  <si>
    <t>HASANAH AFRINA BINTI KHAIRUL REDZUAN</t>
  </si>
  <si>
    <t>TKRS-PC050</t>
  </si>
  <si>
    <t>ARFA CAMELIA BINTI MOHD HAZIQ</t>
  </si>
  <si>
    <t>TKRS-PC051</t>
  </si>
  <si>
    <t>ZARA NUR AINA BINTI ZULFAKAR</t>
  </si>
  <si>
    <t>ADAM MIKAIL BIN SHUKRI</t>
  </si>
  <si>
    <t>TKRS-PC052</t>
  </si>
  <si>
    <t>FARHAANAH BINTI SUHAIZAT</t>
  </si>
  <si>
    <t>TKRS-LC053</t>
  </si>
  <si>
    <t>AMIN RIFQY BIN ADI ISKANDAR</t>
  </si>
  <si>
    <t>TKRS-PC048</t>
  </si>
  <si>
    <t>NUR INTAN FARHANA BINTI MOHD HAIRI</t>
  </si>
  <si>
    <t>SK TAMAN DESA SKUDAI</t>
  </si>
  <si>
    <t>KRS-LB009</t>
  </si>
  <si>
    <t>AZRIEL SYAH PUTRA BIN EDILBERTO C.APINES</t>
  </si>
  <si>
    <t>MOHAMAD DARIELL HAIQAL BIN HASSANKUSAINI</t>
  </si>
  <si>
    <t>UL-LD004</t>
  </si>
  <si>
    <t>PHILIP WONG</t>
  </si>
  <si>
    <t>MUHAMMAD FAHIM IMAN BIN MUHAMAD FAISAL</t>
  </si>
  <si>
    <t>UL-PD008</t>
  </si>
  <si>
    <t>DHAKSHANASRI A/P SARAVANAN</t>
  </si>
  <si>
    <t>MUHAMMAD ILMAM RAZIN BIN ZAHA</t>
  </si>
  <si>
    <t>UL-PD009</t>
  </si>
  <si>
    <t>DEJASHWINI A/P KOVALAN</t>
  </si>
  <si>
    <t>UL-LD011</t>
  </si>
  <si>
    <t>GODRIK A/L WILLIAM</t>
  </si>
  <si>
    <t>ISKANDAR ZULKARNAIN BIN MOHD IZZUDDIN</t>
  </si>
  <si>
    <t>UL-PD013</t>
  </si>
  <si>
    <t>NUR ZAFEERA BINTI MOHD ZAMREE</t>
  </si>
  <si>
    <t>MUHAMMAD ARSHAD DANIAL BIN MOHD NEDZAM</t>
  </si>
  <si>
    <t>TAN WEI YANG</t>
  </si>
  <si>
    <t>UL-PD018</t>
  </si>
  <si>
    <t>AMISA NORISH BINTI NOORSAZALI</t>
  </si>
  <si>
    <t>MUHD AMIRUL AKHTAR BIN KHAIRUL AZHAR</t>
  </si>
  <si>
    <t>MUHAMMAD HARIZ ARSYAD BIN MOHD NOOR</t>
  </si>
  <si>
    <t>ELMY QALIF RAYYAN BIN NOOR HIDAYAT</t>
  </si>
  <si>
    <t>MUHAMMAD AKHIL ZAMEER BIN MOHAMAD ZAMRI</t>
  </si>
  <si>
    <t>UL-PD028</t>
  </si>
  <si>
    <t>MUHAMMAD IZZ ZAFRAN BIN SAIFUL NIZAM</t>
  </si>
  <si>
    <t>MAHISHI A/P PURUSHOTHMAN</t>
  </si>
  <si>
    <t>UL-PD029</t>
  </si>
  <si>
    <t>AMMURTHESWARY A/P GANESIN</t>
  </si>
  <si>
    <t>UL-PD030</t>
  </si>
  <si>
    <t>NG XI YI</t>
  </si>
  <si>
    <t>MUHAMMAD SHAFIY NAZHAN</t>
  </si>
  <si>
    <t>UL-PD031</t>
  </si>
  <si>
    <t>LEE HONG ZHE</t>
  </si>
  <si>
    <t>UL-PD032</t>
  </si>
  <si>
    <t>NUR AISYA SOFEA BINTI ABDUL AZIZ</t>
  </si>
  <si>
    <t>SYAQIEF AIDIT BIN SUKIRMAN</t>
  </si>
  <si>
    <t>UL-PD035</t>
  </si>
  <si>
    <t>KRS-LB023</t>
  </si>
  <si>
    <t>KIRTISHA A/P SARAVANAN</t>
  </si>
  <si>
    <t>PUTRA SHAZZRIZAM AL DAYYAN SHAH BIN MOHD SHAHNIZAM</t>
  </si>
  <si>
    <t>UL-PD036</t>
  </si>
  <si>
    <t>HASHSINI A/P KESAVAN</t>
  </si>
  <si>
    <t>UL-PD037</t>
  </si>
  <si>
    <t>ADLINA NUR HADIRAH BINTI MOHD ZAID</t>
  </si>
  <si>
    <t>KRS-LB024</t>
  </si>
  <si>
    <t>EZZAL ZULHARITH BIN ZAIRILAMRI</t>
  </si>
  <si>
    <t>UL-PD038</t>
  </si>
  <si>
    <t>NUR AIRA ZAHIRAH BINTI FAIZAL</t>
  </si>
  <si>
    <t>UL-PD039</t>
  </si>
  <si>
    <t>WAN NUR ARISSA SOFEA BINTI WAN MOHD ZAIN</t>
  </si>
  <si>
    <t>KRS-LB025</t>
  </si>
  <si>
    <t>MUHAMAD HAMIRUL AZIM BIN MAHATHIR</t>
  </si>
  <si>
    <t>UL-PD041</t>
  </si>
  <si>
    <t>WAN NUR AFIFAH BINTI WAN MOHD ZAIN</t>
  </si>
  <si>
    <t>UL-PD042</t>
  </si>
  <si>
    <t>NUR QAIREEN SYADIA BINTI MOHD ZUKFELI</t>
  </si>
  <si>
    <t>KRS-LB026</t>
  </si>
  <si>
    <t>ARY FAREEZ AMIERUL BIN ABDULLAH</t>
  </si>
  <si>
    <t>UL-PD043</t>
  </si>
  <si>
    <t>NUR ALIYA NAJIHA BINTI MOHD ARRIFIN</t>
  </si>
  <si>
    <t>UL-PD044</t>
  </si>
  <si>
    <t>NUR AULIYA NATASHA BINTI MUHAMMAD AIMAN TANG</t>
  </si>
  <si>
    <t>KRS-LB027</t>
  </si>
  <si>
    <t>MUHAMMAD AZFAR BIN FADLI</t>
  </si>
  <si>
    <t>UL-LD047</t>
  </si>
  <si>
    <t>ED FEROZ BIN FAIZAL</t>
  </si>
  <si>
    <t>KRS-LC001</t>
  </si>
  <si>
    <t>ADREAN RAHIMI BIN ABDUL AZIM</t>
  </si>
  <si>
    <t>UL-LD048</t>
  </si>
  <si>
    <t>POVENTHAN A/L TAMIL SELVAM</t>
  </si>
  <si>
    <t>UL-LD049</t>
  </si>
  <si>
    <t>BRYAN LIM WEI LIANG</t>
  </si>
  <si>
    <t>KRS-LC002</t>
  </si>
  <si>
    <t>MUHAMMAD ANIQ HANIF BIN MOHD HANAFI</t>
  </si>
  <si>
    <t>KRS-LC003</t>
  </si>
  <si>
    <t>MUHAMMAD SYAHRIL BIN MUHAMMAD SA'AT</t>
  </si>
  <si>
    <t>UL-LD053</t>
  </si>
  <si>
    <t>SURYAVARMAN A/L CHAKARAVARTHI</t>
  </si>
  <si>
    <t>UL-LD054</t>
  </si>
  <si>
    <t>DARRSHAN A/L RAMASAY</t>
  </si>
  <si>
    <t>KRS-LC004</t>
  </si>
  <si>
    <t>MUHAMMAD FIRAS HADI BIN MD NORAZLI</t>
  </si>
  <si>
    <t>SMK DATO' ABDUL RAHMAN YASSIN</t>
  </si>
  <si>
    <t>UL-LD056</t>
  </si>
  <si>
    <t>NIHALAN A/L SARAVANAN</t>
  </si>
  <si>
    <t>KRS-LC005</t>
  </si>
  <si>
    <t>MUHAMMAD ATHIR HAZIM BIN ASRI RAHMAN</t>
  </si>
  <si>
    <t>KRS-LC006</t>
  </si>
  <si>
    <t>MOHAMAD SYAZMI BIN HANG TUAH @ MOHD ZAIN</t>
  </si>
  <si>
    <t>KRS-LC007</t>
  </si>
  <si>
    <t>MUHAMMAD HARITH RIZKI BIN MOHD HAZMI</t>
  </si>
  <si>
    <t>KRS-LC008</t>
  </si>
  <si>
    <t>AQIL NAUFAL BIN SULAIMAN</t>
  </si>
  <si>
    <t>KRS-LC009</t>
  </si>
  <si>
    <t>BASYR HAMYZAN BIN MOHD ZAMBRY</t>
  </si>
  <si>
    <t>KRS-LC010</t>
  </si>
  <si>
    <t>MUHAMMAD ALIF MUSTAQIM BIN MD FUHAD</t>
  </si>
  <si>
    <t>KRS-LC011</t>
  </si>
  <si>
    <t>MUHAMMAD HARRAZ ZAQUAN BIN MOHD NAZRI</t>
  </si>
  <si>
    <t>KRS-LC012</t>
  </si>
  <si>
    <t>MUHAMMAD KHAIRIL AKASHAH BIN HAIRIL YUSOF</t>
  </si>
  <si>
    <t>KRS-LC013</t>
  </si>
  <si>
    <t>MUHAMMAD IRSYAD HAKIMI BIN MOHD IDZRUL HISYAM</t>
  </si>
  <si>
    <t>KRS-LC014</t>
  </si>
  <si>
    <t>MUHAMMAD QABIL IQRAM BIN SUHAIMI</t>
  </si>
  <si>
    <t>KRS-LC015</t>
  </si>
  <si>
    <t>AHMAD DARIS MUHADZDZIB BIN YOUSSAINEIR</t>
  </si>
  <si>
    <t>KRS-LC016</t>
  </si>
  <si>
    <t>HAMZA BIN HILMI</t>
  </si>
  <si>
    <t>NAMA UNIT</t>
  </si>
  <si>
    <t>KRS-LC017</t>
  </si>
  <si>
    <t>JENIS PENTAULIAHAN</t>
  </si>
  <si>
    <t>AISY WALDAN BIN MOHD SHARIN</t>
  </si>
  <si>
    <t>KATEGORI</t>
  </si>
  <si>
    <t>TKRS</t>
  </si>
  <si>
    <t>KOPERAL</t>
  </si>
  <si>
    <t>TUNAS KADET REMAJA SEKOLAH</t>
  </si>
  <si>
    <t>SARJAN</t>
  </si>
  <si>
    <t>KRS-LC018</t>
  </si>
  <si>
    <t>MOHAMAD YUZER AIZAM BIN MOHD YAZID</t>
  </si>
  <si>
    <t>KRS-LC019</t>
  </si>
  <si>
    <t>MUHAMMAD ARIF ASYRAF BIN MOHAMMAD ZAKI</t>
  </si>
  <si>
    <t>KRS-LC020</t>
  </si>
  <si>
    <t>MUHAMMAD KHALIFF IMAN BIN MOHD SHUKRI</t>
  </si>
  <si>
    <t>KRS-LC021</t>
  </si>
  <si>
    <t>MUHAMMAD SYAHMEN HARITH BIN MUHAMAD SUKRI</t>
  </si>
  <si>
    <t>KRS-LC022</t>
  </si>
  <si>
    <t>JOVIAN CARLOS ANAK MAPANG</t>
  </si>
  <si>
    <t>KRS-LC023</t>
  </si>
  <si>
    <t>MUHAMMAD HAZIM HASLAM BIN ABDULLAH</t>
  </si>
  <si>
    <t>KRS-LC024</t>
  </si>
  <si>
    <t>SHARWINKUMAR A/L PREMKUMAR</t>
  </si>
  <si>
    <t>KRS-LC025</t>
  </si>
  <si>
    <t>MUHAMMAD IQBAL BIN HARMAN SHAH</t>
  </si>
  <si>
    <t>KRS-LC026</t>
  </si>
  <si>
    <t>MUHAMMAD AFIQ AFFIAN BIN MOHD DAHLIA</t>
  </si>
  <si>
    <t>KRS-LC027</t>
  </si>
  <si>
    <t>MUHAMMAD IZHAR BIN MOHD ZAHIR</t>
  </si>
  <si>
    <t>KRS-PA001</t>
  </si>
  <si>
    <t>DIYA RAISHA NAZEEHA BINTI NOR AZMAN</t>
  </si>
  <si>
    <t>KRS-PA002</t>
  </si>
  <si>
    <t>NUR SYAMIMI QAISARA BINTI SHAHEBOL FA’HADZIL</t>
  </si>
  <si>
    <t>KRS-PA003</t>
  </si>
  <si>
    <t>NURUL ALISHA BINTI SHAIRUL SAFREE</t>
  </si>
  <si>
    <t>KRS-PA004</t>
  </si>
  <si>
    <t>ELLYSH SYADIERA BINTI MUHAMMAD RASHID</t>
  </si>
  <si>
    <t>KRS-PA005</t>
  </si>
  <si>
    <t>PUTRI NUR SYAHFINAS BINTI AZIZ</t>
  </si>
  <si>
    <t>KRS-PA006</t>
  </si>
  <si>
    <t>LEE YI HUI</t>
  </si>
  <si>
    <t>KRS-PA007</t>
  </si>
  <si>
    <t>YONG CHEN EN</t>
  </si>
  <si>
    <t>KRS-PA008</t>
  </si>
  <si>
    <t>SITI AUNI FATHIAH BINTI NAZILI</t>
  </si>
  <si>
    <t>KRS-PA009</t>
  </si>
  <si>
    <t>AISHA IZZARA BINTI MOHD SHAHBUDIN</t>
  </si>
  <si>
    <t>KRS-PA010</t>
  </si>
  <si>
    <t>NUR ARYYANA DARWISYAH BINTI MOHD RAZIP</t>
  </si>
  <si>
    <t>KRS-PA011</t>
  </si>
  <si>
    <t>NURANISAH BINTI ANHAR</t>
  </si>
  <si>
    <t>KRS-PA012</t>
  </si>
  <si>
    <t>SITI NUR UMAIRAH BINTI MD RIFFIN</t>
  </si>
  <si>
    <t>KRS-PA013</t>
  </si>
  <si>
    <t>HUSNA BINTI IZZUDDIN</t>
  </si>
  <si>
    <t>KRS-PA014</t>
  </si>
  <si>
    <t>NUR KHALISYA UMAIRAH BINTI HISHAM</t>
  </si>
  <si>
    <t>KRS-PA015</t>
  </si>
  <si>
    <t>MADEYLN MALAR A/P P.M.MURUGAN</t>
  </si>
  <si>
    <t>KRS-PA016</t>
  </si>
  <si>
    <t>NUR ZAFIRAH BINTI MOHAMMAD ZAID</t>
  </si>
  <si>
    <t>KRS-PA017</t>
  </si>
  <si>
    <t>ANDRIYANA NOOR MAISARAH BINTI MOHMAD SUKRI</t>
  </si>
  <si>
    <t>BIL</t>
  </si>
  <si>
    <t>KRS-PA018</t>
  </si>
  <si>
    <t>NUR HUSNINA UMAIRAIAH BT MOHD HASMIDI</t>
  </si>
  <si>
    <t>KRS-PA019</t>
  </si>
  <si>
    <t>SITI AISYAH BINTI MOHD ANUAR</t>
  </si>
  <si>
    <t>KRS-PA020</t>
  </si>
  <si>
    <t>SAVIENASHA BINTI MUHAMMAD</t>
  </si>
  <si>
    <t>KRS-PA021</t>
  </si>
  <si>
    <t>NUR UMAIRAH AFRINA BINTI AMIR RIDZWAN</t>
  </si>
  <si>
    <t>KRS-PB001</t>
  </si>
  <si>
    <t>IRDINA WAFA BINTI MOHAMMAD</t>
  </si>
  <si>
    <t>KRS-PB002</t>
  </si>
  <si>
    <t>NUR FARIHAH BINTI MOHD FAIZAL</t>
  </si>
  <si>
    <t>KRS-PB003</t>
  </si>
  <si>
    <t>ELEMEN PENGUJIAN</t>
  </si>
  <si>
    <t>QALSOM MASTURAH BINTI MOHD HERDI</t>
  </si>
  <si>
    <t>KRS-PB004</t>
  </si>
  <si>
    <t>NURKHAIRUNNISA BINTI RAMLI</t>
  </si>
  <si>
    <t>JUMLAH MARKAH</t>
  </si>
  <si>
    <t>STATUS TKRS</t>
  </si>
  <si>
    <t>KRS-PB005</t>
  </si>
  <si>
    <t>CHEN JIA EN</t>
  </si>
  <si>
    <t>KRS-PB006</t>
  </si>
  <si>
    <t>GAN WEN PEI</t>
  </si>
  <si>
    <t>KAWAD KAKI</t>
  </si>
  <si>
    <t>KRS-PB007</t>
  </si>
  <si>
    <t>AZZA ZEHRAIZMA ZEENATH BINTI NOOR AZIZAN</t>
  </si>
  <si>
    <t>BANTU MULA</t>
  </si>
  <si>
    <t>IKATAN</t>
  </si>
  <si>
    <t>KRS-PB008</t>
  </si>
  <si>
    <t>ARVESHA A/P TILAGANATHAN</t>
  </si>
  <si>
    <t>TKRS-LA001</t>
  </si>
  <si>
    <t>KRS-PB009</t>
  </si>
  <si>
    <t>DANIA NABIHAH BINTI SANTYRA</t>
  </si>
  <si>
    <t>MUHAMMAD REEFA MIKHAIL BIN KHAIRUL ANWAR</t>
  </si>
  <si>
    <t>SJK (C) FOON YEW 2</t>
  </si>
  <si>
    <t>KRS-PB010</t>
  </si>
  <si>
    <t>NUR ELIAA YASMIN BINTI MOHAMMED NAZURUL ISLAM</t>
  </si>
  <si>
    <t>KRS-PB011</t>
  </si>
  <si>
    <t>NURSYASYA HUMAYRA BINTI MUSTAPA</t>
  </si>
  <si>
    <t>KRS-PB012</t>
  </si>
  <si>
    <t>HANI SUFIA BINTI MOHD RAFI</t>
  </si>
  <si>
    <t>KRS-PB013</t>
  </si>
  <si>
    <t>MAIZATUL ATIQAH BINTI MASIRAN</t>
  </si>
  <si>
    <t>KRS-PB014</t>
  </si>
  <si>
    <t>NUR AISYAH BINTI ZULKEFLI</t>
  </si>
  <si>
    <t>KRS-PB015</t>
  </si>
  <si>
    <t>NISRINA SALSABILA BINTI BENNY</t>
  </si>
  <si>
    <t>KRS-PB016</t>
  </si>
  <si>
    <t>SAKINAH BINTI ARIFF BAKHTIAR</t>
  </si>
  <si>
    <t>KRS-PB017</t>
  </si>
  <si>
    <t>SYLVENNA EVVY ANAK SYLVESTER</t>
  </si>
  <si>
    <t>KRS-PB018</t>
  </si>
  <si>
    <t>NUR SYAFIYA AQILAH BINTI NOOR HISHAM</t>
  </si>
  <si>
    <t>KRS-PB019</t>
  </si>
  <si>
    <t>SYAHRAIN BALQIS BINTI SUHAIMEE</t>
  </si>
  <si>
    <t>KRS-PB020</t>
  </si>
  <si>
    <t>ALYA ADRYANA BINTI ISMUNI</t>
  </si>
  <si>
    <t>KRS-PB021</t>
  </si>
  <si>
    <t>NURAMANINA SARAH BINTI MOHD ELYAS</t>
  </si>
  <si>
    <t>KRS-PC001</t>
  </si>
  <si>
    <t>NOOR ZARA KHAN BINTI MOHD KAMAL FARISH</t>
  </si>
  <si>
    <t>KRS-PC002</t>
  </si>
  <si>
    <t>NURIN ASYIFA BINTI MUHAMMADZIN</t>
  </si>
  <si>
    <t>KRS-PC003</t>
  </si>
  <si>
    <t>BAHEERA SAFIAH BINTI ROSMAINI</t>
  </si>
  <si>
    <t>KRS-PC004</t>
  </si>
  <si>
    <t>PUTRI NUR AFIFAH ALIAH BINTI AJIWI</t>
  </si>
  <si>
    <t>KRS-PC005</t>
  </si>
  <si>
    <t>KRS-PC006</t>
  </si>
  <si>
    <t>WONG CAI HAN</t>
  </si>
  <si>
    <t>KRS-PC007</t>
  </si>
  <si>
    <t>SITI NURBALQIS AZIERA BINTI SAZALI</t>
  </si>
  <si>
    <t>KRS-PC008</t>
  </si>
  <si>
    <t>LIEW SHANQI</t>
  </si>
  <si>
    <t>KRS-PC009</t>
  </si>
  <si>
    <t>IZARA ALEESYA BINTI MOHD IZZUDDIN</t>
  </si>
  <si>
    <t>KRS-PC010</t>
  </si>
  <si>
    <t>NUR UMAIRAH ZAHRA BINTI SHAMSUL RIZAL</t>
  </si>
  <si>
    <t>TKRS-LA002</t>
  </si>
  <si>
    <t>KRS-PC011</t>
  </si>
  <si>
    <t>TEJEASHVAR A/L RAJENDRAN</t>
  </si>
  <si>
    <t>PUTRI NUR ADAUWIYYAH BINTI AHMAD @ RAHMAT</t>
  </si>
  <si>
    <t>SJK (T) JALAN YAHYA AWAL</t>
  </si>
  <si>
    <t>KRS-PC012</t>
  </si>
  <si>
    <t>AISYA QISTINA BINTI ABDUL MALEK</t>
  </si>
  <si>
    <t>KRS-PC013</t>
  </si>
  <si>
    <t>NUR DAMIA ZALIEYYA BINTI ABDULLAH</t>
  </si>
  <si>
    <t>KRS-PC014</t>
  </si>
  <si>
    <t>ABIGAIL AIMEE FREDDY</t>
  </si>
  <si>
    <t>KRS-PC015</t>
  </si>
  <si>
    <t>NUR DHANIYAH BALQIS BINTI MOHAMAD IZWAN</t>
  </si>
  <si>
    <t>KRS-PC016</t>
  </si>
  <si>
    <t>VAISNAVI A/P PON PANDIAN</t>
  </si>
  <si>
    <t>KRS-PC017</t>
  </si>
  <si>
    <t>AFRINA AQEELAH BT ARIZAM</t>
  </si>
  <si>
    <t>KRS-PC018</t>
  </si>
  <si>
    <t>THIVASHINI A/P VIKNESWARAN</t>
  </si>
  <si>
    <t>TKRS-LA003</t>
  </si>
  <si>
    <t>ADRIEL SANJAY JUSTIN</t>
  </si>
  <si>
    <t>KRS-PC019</t>
  </si>
  <si>
    <t>SJK (T) TAMAN TUN AMINAH</t>
  </si>
  <si>
    <t>PRUNELLA REI A/P SIVACHANDARAN</t>
  </si>
  <si>
    <t>KRS-PC020</t>
  </si>
  <si>
    <t>NUR ATIQAH ADHWA'NI BINTI ABDULLAH HIRWANDY</t>
  </si>
  <si>
    <t>TKRS-LA004</t>
  </si>
  <si>
    <t>MUHAMMAD AMMAR NAUFAL BIN MOHD NUR SYAFIQ</t>
  </si>
  <si>
    <t>SK BUKIT MUTIARA</t>
  </si>
  <si>
    <t>TKRS-LA005</t>
  </si>
  <si>
    <t>MUHAMMAD HILMAN HAQ BIN MOHD HARZAMIR</t>
  </si>
  <si>
    <t>SK KAMPONG PASIR</t>
  </si>
  <si>
    <t>TKRS-LA006</t>
  </si>
  <si>
    <t>MUHAMMAD RIZKY FINIX BIN MUHAMMAD AKMAL</t>
  </si>
  <si>
    <t>SK KAMPUNG PULAI</t>
  </si>
  <si>
    <t>TKRS-LA007</t>
  </si>
  <si>
    <t>FIRAS IMRAN BIN FAKHRUL IZWAN</t>
  </si>
  <si>
    <t>SK LARKIN 1</t>
  </si>
  <si>
    <t>TKRS-LA008</t>
  </si>
  <si>
    <t>MUHAMMAD SAIE RIZQULLAH BIN SAYEFULLAH</t>
  </si>
  <si>
    <t>SK MAJIDI BAHRU</t>
  </si>
  <si>
    <t>TKRS-LA009</t>
  </si>
  <si>
    <t>MUHAMMAD HUZAIR NAQIUDIN BIN MOHD HAIRUDIN</t>
  </si>
  <si>
    <t>TKRS-LA010</t>
  </si>
  <si>
    <t>AHMAD UMAR BIN MAT JUNOH</t>
  </si>
  <si>
    <t>SK NUSANTARA</t>
  </si>
  <si>
    <t>TKRS-LA011</t>
  </si>
  <si>
    <t>MUHAMMMAD AIMAN HAZIQ BIN MUHAMMAD FIRDAUS</t>
  </si>
  <si>
    <t>TKRS-LA012</t>
  </si>
  <si>
    <t>FAROUQ AIMAR FUDHAIL BIN MOHAMED HIRMY</t>
  </si>
  <si>
    <t>TKRS-LA013</t>
  </si>
  <si>
    <t>MUHAMMAD AISY FAYYADH BIN ABDUL KAMAL</t>
  </si>
  <si>
    <t>TKRS-LA014</t>
  </si>
  <si>
    <t>MUHAMMAD NUR IQBAL BIN ABDUR RAZZAQ</t>
  </si>
  <si>
    <t>TKRS-LA015</t>
  </si>
  <si>
    <t>MUHAMMAD AVICEENA BIN ROSLAN</t>
  </si>
  <si>
    <t>SK SERI PERLING 2</t>
  </si>
  <si>
    <t>TKRS-LA016</t>
  </si>
  <si>
    <t>MUHAMMAD ARYAN BIN SHAHRUL AFZANIZAM</t>
  </si>
  <si>
    <t>SK SRI AMAR</t>
  </si>
  <si>
    <t>TKRS-LA017</t>
  </si>
  <si>
    <t>LAXSHAN A/L SUJENDRAN</t>
  </si>
  <si>
    <t>SK SRI TEBRAU</t>
  </si>
  <si>
    <t>TKRS-LA018</t>
  </si>
  <si>
    <t>AYLAN RIZQI ISMAIL BIN AZRUL</t>
  </si>
  <si>
    <t>TKRS-LA019</t>
  </si>
  <si>
    <t>IMAN IRSYAD BIN KHAIRUL ANUAR RIDZUAN</t>
  </si>
  <si>
    <t>TKRS-LA020</t>
  </si>
  <si>
    <t>MUHAMMAD NAUFAL AMSYAR BIN MOHD HAFIZ</t>
  </si>
  <si>
    <t>TKRS-LA021</t>
  </si>
  <si>
    <t>MUHAMMAD ADAM ZAFRAN BIN MUHAMAD AZROL</t>
  </si>
  <si>
    <t>TKRS-LA022</t>
  </si>
  <si>
    <t>MOHAMAD ZAHID ISMAIL BIN ABDULLAH</t>
  </si>
  <si>
    <t>SK TAMAN SURIA</t>
  </si>
  <si>
    <t>TKRS-LA023</t>
  </si>
  <si>
    <t>MUHAMMAD ZAFRAN BIN AZUAN</t>
  </si>
  <si>
    <t>TKRS-LA024</t>
  </si>
  <si>
    <t>MUHAMMAD AISY RYKAL BIN MUHAMAD RASUL</t>
  </si>
  <si>
    <t>SK TAMAN SUTERA</t>
  </si>
  <si>
    <t>TKRS-LA025</t>
  </si>
  <si>
    <t>MUHAMMAD ZAFFRAN SAMSUDIN BIN ABDUR RAZZAQ</t>
  </si>
  <si>
    <t>TKRS-LA026</t>
  </si>
  <si>
    <t>MUHAMMAD AQIF RAYQAL BIN MOHD FADIL</t>
  </si>
  <si>
    <t>TKRS-LA027</t>
  </si>
  <si>
    <t>SYAHEED AMMAR ABDILLAH BIN MOHAMMAD BASAR</t>
  </si>
  <si>
    <t>SK TAMAN UNIVERSITI 4</t>
  </si>
  <si>
    <t>TKRS-LA028</t>
  </si>
  <si>
    <t>MUHAMMAD ADDI AFFEZ BIN MUHAMMAD SUFFIAN</t>
  </si>
  <si>
    <t>SK TASEK UTARA</t>
  </si>
  <si>
    <t>TKRS-LA029</t>
  </si>
  <si>
    <t>MUAYYAD ZUHAILY BIN MOHD TAUFIK</t>
  </si>
  <si>
    <t>SK TEBRAU BAKAR BATU</t>
  </si>
  <si>
    <t>TKRS-LA030</t>
  </si>
  <si>
    <t>MUHAMMAD AMMAR RAYYAN BIN MOHD HAFIZ</t>
  </si>
  <si>
    <t>SK TEMENGGONG ABDUL RAHMAN 1</t>
  </si>
  <si>
    <t>TKRS-LA031</t>
  </si>
  <si>
    <t>ARYAN SHADIQ BIN MOHD SOLLIHIN</t>
  </si>
  <si>
    <t>SRABJB</t>
  </si>
  <si>
    <t>TKRS-LA032</t>
  </si>
  <si>
    <t>MUHAMMAD AQIL BIN MOHD FAZLIEE</t>
  </si>
  <si>
    <t>TKRS-LA033</t>
  </si>
  <si>
    <t>MUHAMMAD RIFQI UMAIR BIN MOHD AZWAN NAIM</t>
  </si>
  <si>
    <t>TKRS-LB001</t>
  </si>
  <si>
    <t>ZACHARY LOO QI WEI</t>
  </si>
  <si>
    <t>TKRS-LB002</t>
  </si>
  <si>
    <t>KAPINDRA RAJ A/L PRASAD RAJ</t>
  </si>
  <si>
    <t>SJK (T) LADANG RINI</t>
  </si>
  <si>
    <t>TKRS-LB003</t>
  </si>
  <si>
    <t>JEEVITHAN A/L GANESPURAN</t>
  </si>
  <si>
    <t>TKRS-LB004</t>
  </si>
  <si>
    <t>AR RAYYAN HACQIMY BIN MOHD FAUZI</t>
  </si>
  <si>
    <t>TKRS-LB005</t>
  </si>
  <si>
    <t>MUHAMMAD RAZIQ BIN MOHD RIDHUAN</t>
  </si>
  <si>
    <t>TKRS-LB006</t>
  </si>
  <si>
    <t>MUHAMMAD QUSHAYYI RIZQKI BIN MOHD KHAIRUL</t>
  </si>
  <si>
    <t>TKRS-LB007</t>
  </si>
  <si>
    <t>MCCAELLEN REEVE ANAK MICHAEL</t>
  </si>
  <si>
    <t>TKRS-LB008</t>
  </si>
  <si>
    <t>IZZ NUR ZAIHAN BIN KAMARUL ARIFIN</t>
  </si>
  <si>
    <t>TKRS-LB009</t>
  </si>
  <si>
    <t>MUHAMMAD IZZ HARITH BIN NUR HAZWAN</t>
  </si>
  <si>
    <t>TKRS-LB010</t>
  </si>
  <si>
    <t>AMMAR IRFAN BIN MOHD NUR SAUFI</t>
  </si>
  <si>
    <t>TKRS-LB011</t>
  </si>
  <si>
    <t>ARYAN SUFYAN BIN MOHAMAD ZULFAN</t>
  </si>
  <si>
    <t>TKRS-LB012</t>
  </si>
  <si>
    <t>MUHAMAD AMMAR QAYYIM BIN IBRAHIM</t>
  </si>
  <si>
    <t>TKRS-LB013</t>
  </si>
  <si>
    <t>MUHAMMAD AQHIL MUSTAQHIM BIN MOHD. SAHARI</t>
  </si>
  <si>
    <t>TKRS-LB014</t>
  </si>
  <si>
    <t>MUHAMMAD SYAZWI SYIHABUDDIN BIN ADILEY</t>
  </si>
  <si>
    <t>TKRS-LB015</t>
  </si>
  <si>
    <t>MUHAMMAD SHAMIR NASRI BIN MOHD SHAHRIR</t>
  </si>
  <si>
    <t>TKRS-LB016</t>
  </si>
  <si>
    <t>ABDUL MALIQ HARITH BIN ABDUL KARIM</t>
  </si>
  <si>
    <t>TKRS-LB017</t>
  </si>
  <si>
    <t>UTHMAN BIN SHALFIN</t>
  </si>
  <si>
    <t>TKRS-LB018</t>
  </si>
  <si>
    <t>FAKHRUL AKIF RAHIMI BIN FAIZAL ROZHIZLAN</t>
  </si>
  <si>
    <t>TKRS-LB019</t>
  </si>
  <si>
    <t>MUHAMMAD ADAM ARYAN BIN AZHIEM ZULKIFLI</t>
  </si>
  <si>
    <t>TKRS-LB020</t>
  </si>
  <si>
    <t>MUHAMMAD NUH ZIYAD BIN MUHAMAD ANUAR</t>
  </si>
  <si>
    <t>TKRS-LB021</t>
  </si>
  <si>
    <t>MUHAMMAD DHAFIR DARWISY BIN MUHAMAD FIRDAUS</t>
  </si>
  <si>
    <t>TKRS-LB022</t>
  </si>
  <si>
    <t>MUHAMMAD AIDIL ZHAFRI BIN MOHD NAZRUL HAFIZAN</t>
  </si>
  <si>
    <t>TKRS-LB023</t>
  </si>
  <si>
    <t>AHMAD ZIYAD BIN MOHD ROZAINI</t>
  </si>
  <si>
    <t>TKRS-LB024</t>
  </si>
  <si>
    <t>MUHAMMAD QAYYUM MUHAIMIN BIN HAFIZUL HAFSYAM</t>
  </si>
  <si>
    <t>TKRS-LB025</t>
  </si>
  <si>
    <t>MUHAMMAD ARYAN MIKAIL BIN MUHAMMAD HAFIZ</t>
  </si>
  <si>
    <t>TKRS-LB026</t>
  </si>
  <si>
    <t>SYAMIL DANISH BIN SARIFUDDIN</t>
  </si>
  <si>
    <t>TKRS-LB027</t>
  </si>
  <si>
    <t>HABIB MUHAMMAD BIN ABDUL HAMID</t>
  </si>
  <si>
    <t>TKRS-LB028</t>
  </si>
  <si>
    <t>AHMAD SYAKIL RIZQI BIN MOHD RIDWAN</t>
  </si>
  <si>
    <t>TKRS-LB029</t>
  </si>
  <si>
    <t>MUHAMMAD NOR SHUKRI BIN NORHASIM</t>
  </si>
  <si>
    <t>TKRS-LB030</t>
  </si>
  <si>
    <t>RAEF FAYYAZ BIN HAMZAH FANSURI</t>
  </si>
  <si>
    <t>TKRS-LB031</t>
  </si>
  <si>
    <t>MOHAMAD AMSYAR ZIYADULHAQ BIN MOHAMAD ZARQANI</t>
  </si>
  <si>
    <t>TKRS-LB032</t>
  </si>
  <si>
    <t>MUHAMMAD HADI UQAIL BIN MOHD ZAIDI</t>
  </si>
  <si>
    <t>TKRS-LB033</t>
  </si>
  <si>
    <t>MUHAMMAD SYAZAN BIN MOHD SYAHIR</t>
  </si>
  <si>
    <t>PRAGTIIS NAIR A/L RAMUBAHADUR</t>
  </si>
  <si>
    <t>VAITHESWARAN A/L KESAVA KUMAR</t>
  </si>
  <si>
    <t>KHALEED YUSUFF BIN MOHD NOR HAFIZ</t>
  </si>
  <si>
    <t>MUHAMMAD AFIQ RAYYAN BIN MOHD FAKHRUDDIN</t>
  </si>
  <si>
    <t>MUHAMMAD AL-BHAYHAQQI BIN MOHAMAD SUFIYAN</t>
  </si>
  <si>
    <t>WAN SHARUL EZUWAN BIN WAN SYAHRUSYABRI</t>
  </si>
  <si>
    <t>HARIS HAKEEM BIN MOHD SANI</t>
  </si>
  <si>
    <t>SAIF ISLAM BIN ABDUL RAHMAN</t>
  </si>
  <si>
    <t>MUHAMMAD SYAHID ZIYAD BIN SUFIAN</t>
  </si>
  <si>
    <t>HAIRUL IRSYAD MUZAFFAR BIN HAIRUL HAIRI</t>
  </si>
  <si>
    <t>ASYRAF AIMAR DANI BIN YASIN</t>
  </si>
  <si>
    <t>MUHAMMAD ADAM ARIFF BIN SYAIPUL ADZHAR</t>
  </si>
  <si>
    <t>MUHAMMAD FAYYADH BIN MOHD NORAZLIE</t>
  </si>
  <si>
    <t>AIMAN HAKIM BIN AZLAN</t>
  </si>
  <si>
    <t>MALEEQ HAIDAR BIN HARMANNULLAH</t>
  </si>
  <si>
    <t>TKRS-LC016</t>
  </si>
  <si>
    <t>MUHAMMAD LUTFI HAKIM BIN MOSYAZID</t>
  </si>
  <si>
    <t>AHMAD MUIZZUDDIN BIN ZAIR ASRAR</t>
  </si>
  <si>
    <t>GIGGS JINOL</t>
  </si>
  <si>
    <t>MUHAMMAD ARYAN BIN RAHMATHUL AZIZ</t>
  </si>
  <si>
    <t>ARYAN HAKIMY BIN MOHD SAZRI</t>
  </si>
  <si>
    <t>TKRS-LC021</t>
  </si>
  <si>
    <t>MUHAMMAD ZAWWIR AQIL BIN ZAINI</t>
  </si>
  <si>
    <t>MUHAMMAD AIMAN HAZIQ BIN ABDUL HAFIZ</t>
  </si>
  <si>
    <t>AYDAN HAFIY BIN MOHAMAD SHAFIEE</t>
  </si>
  <si>
    <t>MUHAMMAD NUR AIMAN LUTFI BIN ABD RAHMAN</t>
  </si>
  <si>
    <t>TKRS-LC025</t>
  </si>
  <si>
    <t>MUHAMMAD SAIF MIKHAIL BIN SAIFUL'ADLI</t>
  </si>
  <si>
    <t>AFWAN FAHRI BIN IZUDDIN SHAH</t>
  </si>
  <si>
    <t>MOHAMAD AMMAR FAYYADH BIN MOHAMAD SYAFIQ</t>
  </si>
  <si>
    <t>AMIR AFIQ BIN MOHAMAD NURJIHADDY</t>
  </si>
  <si>
    <t>IMAN AQEEF BIN SAHARUDIN</t>
  </si>
  <si>
    <t>TKRS-LC030</t>
  </si>
  <si>
    <t>RAYYAN HAIQAL BIN MUHAMMAD AZAM</t>
  </si>
  <si>
    <t>TKRS-LC031</t>
  </si>
  <si>
    <t>MUHAMMAD AMMAR BIN MOHD FAIREE</t>
  </si>
  <si>
    <t>MUHAMMAD HADIF AMMAR BIN HAIROLANUAR</t>
  </si>
  <si>
    <t>TKRS-PA001</t>
  </si>
  <si>
    <t>AINUL HASANAH BINTI AHMAD HAMSANI</t>
  </si>
  <si>
    <t>TKRS-PA002</t>
  </si>
  <si>
    <t>REYSHINI NAIR A/P THEVAN NAIR</t>
  </si>
  <si>
    <t>TKRS-PA003</t>
  </si>
  <si>
    <t>RISHITA A/P AGHILAN</t>
  </si>
  <si>
    <t>TKRS-PA004</t>
  </si>
  <si>
    <t>AURORA MIKHAYLLA BINTI MUHAMMAD ARIFF</t>
  </si>
  <si>
    <t>SK (P) BANDAR TINGGI</t>
  </si>
  <si>
    <t>STATUS KRS</t>
  </si>
  <si>
    <t>TKRS-PA005</t>
  </si>
  <si>
    <t>MAISARAH BINTI MAHDHIR</t>
  </si>
  <si>
    <t>SK (P) SULTAN IBRAHIM</t>
  </si>
  <si>
    <t>TKRS-PA006</t>
  </si>
  <si>
    <t>THESHMITHA A/P MAHENDRAN</t>
  </si>
  <si>
    <t>TKRS-PA007</t>
  </si>
  <si>
    <t>NURUL IZZAH BINTI NOOR SYAHREER</t>
  </si>
  <si>
    <t>TKRS-PA008</t>
  </si>
  <si>
    <t>SARAH NUR AUNI BINTI ABDUL RAHIM</t>
  </si>
  <si>
    <t>TKRS-PA009</t>
  </si>
  <si>
    <t>NOOR ARIEANA MIQHAYLA BINTI NOOR AZMIERULLAH</t>
  </si>
  <si>
    <t>TKRS-PA010</t>
  </si>
  <si>
    <t>AISYAH NUHA ZAHIRA BINTI AHMADI</t>
  </si>
  <si>
    <t>TKRS-PA011</t>
  </si>
  <si>
    <t>MARSYA NURMELYSSA BINTI ADY</t>
  </si>
  <si>
    <t>TKRS-PA012</t>
  </si>
  <si>
    <t>DHIYA NUR AINAA ZARITH SOFIA BINTI MOHAMAD ZAKI</t>
  </si>
  <si>
    <t>TKRS-PA013</t>
  </si>
  <si>
    <t>NURHAFIZAH HUSNA BINTI MOHD RASID</t>
  </si>
  <si>
    <t>TKRS-PA014</t>
  </si>
  <si>
    <t>NUR MARISSA QISTINA BINTI MOHD AZIZUL</t>
  </si>
  <si>
    <t>TKRS-PA015</t>
  </si>
  <si>
    <t>DAMIA NUR ALEESYA BINTI MOHAMAD YUSRI</t>
  </si>
  <si>
    <t>TKRS-PA016</t>
  </si>
  <si>
    <t>NUR QASEH ALVIENA BINTI MOHD FIRDAUS</t>
  </si>
  <si>
    <t>TKRS-PA017</t>
  </si>
  <si>
    <t>NUR FATHIYYAH BINTI FADIL</t>
  </si>
  <si>
    <t>TKRS-PA018</t>
  </si>
  <si>
    <t>AIMY DHIYA DIANDRA BINTI YUSINDRA</t>
  </si>
  <si>
    <t>TKRS-PA019</t>
  </si>
  <si>
    <t>AQILAH AWFIYAH BINTI NAZMI</t>
  </si>
  <si>
    <t>TKRS-PA020</t>
  </si>
  <si>
    <t>KHADEEJA HANNAN BINTI MOHD NAJIB</t>
  </si>
  <si>
    <t>TKRS-PA021</t>
  </si>
  <si>
    <t>NURUL TASNEEM BINTI NOOR JAAFAR</t>
  </si>
  <si>
    <t>TKRS-PB001</t>
  </si>
  <si>
    <t>CHAI RUI EN</t>
  </si>
  <si>
    <t>TKRS-PB002</t>
  </si>
  <si>
    <t>PREETHIKA A/P THINAGARAN</t>
  </si>
  <si>
    <t>TKRS-PB003</t>
  </si>
  <si>
    <t>SHAMIKSSHA A/P RAJASEGARAN</t>
  </si>
  <si>
    <t>TKRS-PB004</t>
  </si>
  <si>
    <t>ELVINA ELYSIA CHONG</t>
  </si>
  <si>
    <t>TKRS-PB005</t>
  </si>
  <si>
    <t>NUR AIRIS JANNAH BINTI ASRULFAIZAD</t>
  </si>
  <si>
    <t>TKRS-PB006</t>
  </si>
  <si>
    <t>NUR AIRIS ERYNA BINTI MUHAMAD AZAHA</t>
  </si>
  <si>
    <t>TKRS-PB007</t>
  </si>
  <si>
    <t>RAISYA AZZAHRA BINTI MUHAMAD RAFFI</t>
  </si>
  <si>
    <t>TKRS-PB008</t>
  </si>
  <si>
    <t>ASFALAILA IMANI BINTI MOHD AZHAR</t>
  </si>
  <si>
    <t>TKRS-PB009</t>
  </si>
  <si>
    <t>DANIA AQILAH BINTI NORIZAN</t>
  </si>
  <si>
    <t>TKRS-PB010</t>
  </si>
  <si>
    <t>ALISHA SAFIYA BINTI ZAIRI</t>
  </si>
  <si>
    <t>TKRS-PB011</t>
  </si>
  <si>
    <t>SITI NUR AISYAH BINTI MOHD SYAHRIL</t>
  </si>
  <si>
    <t>TKRS-PB012</t>
  </si>
  <si>
    <t>NUR KEISHA DAMIA BINTI MOHD RIZAL</t>
  </si>
  <si>
    <t>TKRS-PB013</t>
  </si>
  <si>
    <t>MIKAEYLA ROSA RUEBEN</t>
  </si>
  <si>
    <t>TKRS-PB014</t>
  </si>
  <si>
    <t>NUR UZMA AISYAH BINTI MOHD NIZAM</t>
  </si>
  <si>
    <t>TKRS-PB015</t>
  </si>
  <si>
    <t>KHALISHAH ADRIANA BINTI AMAT ISMAIL</t>
  </si>
  <si>
    <t>TKRS-PB016</t>
  </si>
  <si>
    <t>NUR AISHAH YUSRA BINTI MOHD AMIN</t>
  </si>
  <si>
    <t>TKRS-PB017</t>
  </si>
  <si>
    <t>NUR HASYA JAHIRAH BINTI MOHD HISHAM</t>
  </si>
  <si>
    <t>TKRS-PB018</t>
  </si>
  <si>
    <t>NURUL ZUHAIRA SAFIYA BINTI MOHD ZULKHAIRI</t>
  </si>
  <si>
    <t>TKRS-PB019</t>
  </si>
  <si>
    <t>ILMA BINTI FAIRUL NIZAM</t>
  </si>
  <si>
    <t>TKRS-PB020</t>
  </si>
  <si>
    <t>NUR ALISYA BINTI MUHAMMAD YUSOF</t>
  </si>
  <si>
    <t>TKRS-PB021</t>
  </si>
  <si>
    <t>SARA KHADEEJA BINTI MUHAMMAD FAIQ</t>
  </si>
  <si>
    <t>TKRS-PC001</t>
  </si>
  <si>
    <t>LAKSSHANA A/P VIJAYAKAN</t>
  </si>
  <si>
    <t>TKRS-PC002</t>
  </si>
  <si>
    <t>THUSHITRAA DEVI A/P MANUEL ROXAS</t>
  </si>
  <si>
    <t>TKRS-PC003</t>
  </si>
  <si>
    <t>A'IDAH RAIHANNAH BINTI ABDUL HAFIZ</t>
  </si>
  <si>
    <t>TKRS-PC004</t>
  </si>
  <si>
    <t>MELATI IMAN BINTI RIZAL</t>
  </si>
  <si>
    <t>TKRS-PC005</t>
  </si>
  <si>
    <t>NUR NAWAL RIZQIN BINTI ISMAIL</t>
  </si>
  <si>
    <t>TKRS-PC006</t>
  </si>
  <si>
    <t>NUR UQASYAH NADRAH BINTI MOHD KHAIRUL AZUAN</t>
  </si>
  <si>
    <t>TKRS-PC007</t>
  </si>
  <si>
    <t>NURUL QASSEH SUCI PUTERY BINTI MOHD AZIZAN</t>
  </si>
  <si>
    <t>TKRS-PC008</t>
  </si>
  <si>
    <t>RAUDHATUL AISYAH BINTI MOHD FAISAL</t>
  </si>
  <si>
    <t>TKRS-PC009</t>
  </si>
  <si>
    <t>NAZIRATUL HUSNA BINTI HASAN</t>
  </si>
  <si>
    <t>TKRS-PC010</t>
  </si>
  <si>
    <t>AMEERA NUHA BINTI BASHARUDIN</t>
  </si>
  <si>
    <t>TKRS-PC011</t>
  </si>
  <si>
    <t>NUR HARYSYAH BINTI MOHD HAIRY</t>
  </si>
  <si>
    <t>TKRS-PC012</t>
  </si>
  <si>
    <t>NUR BATRISYA BALQIS BINTI MUHAMMAD FAUZI</t>
  </si>
  <si>
    <t>TKRS-PC013</t>
  </si>
  <si>
    <t>RYSTEDELLCA ARDELLE ROYNALD</t>
  </si>
  <si>
    <t>TKRS-PC014</t>
  </si>
  <si>
    <t>ATIQAH SYUHADA BINTI RAZMI</t>
  </si>
  <si>
    <t>TKRS-PC015</t>
  </si>
  <si>
    <t>NOR AMMARA QAISARA BINTI MASRINAH</t>
  </si>
  <si>
    <t>TKRS-PC016</t>
  </si>
  <si>
    <t>SITI NUR AZRA BINTI ADAM</t>
  </si>
  <si>
    <t>TKRS-PC017</t>
  </si>
  <si>
    <t>AFRINA NUR HANNAN BINTI MAT HUSSIN</t>
  </si>
  <si>
    <t>TKRS-PC018</t>
  </si>
  <si>
    <t>SARAH SOFIA BINTI MOHD NOR</t>
  </si>
  <si>
    <t>TKRS-PC019</t>
  </si>
  <si>
    <t>NAURAH SUMAYYAH BINTI MOHD EYAMIN ADII</t>
  </si>
  <si>
    <t>TKRS-PC020</t>
  </si>
  <si>
    <t>NUR KAYYISA SOFIA SUHAIMI BINTI ABDUL SHAHID</t>
  </si>
  <si>
    <t>TKRS-PC021</t>
  </si>
  <si>
    <t>NUR IMAN ARDHANI BINTI IZHAR SYAFIQ</t>
  </si>
  <si>
    <t>ID_UJIAN</t>
  </si>
  <si>
    <t>TARIKH UJIAN</t>
  </si>
  <si>
    <t>NAMA PESERTA</t>
  </si>
  <si>
    <t>NAMA PENGUJI</t>
  </si>
  <si>
    <t>PAKAIAN</t>
  </si>
  <si>
    <t>Skuad Senang… Diri (BH)</t>
  </si>
  <si>
    <t>Skuad Senang… Diri (PER)</t>
  </si>
  <si>
    <t>Skuad Sedia (BH)</t>
  </si>
  <si>
    <t>Skuad Sedia (PER)</t>
  </si>
  <si>
    <t>Ke kanan… lurus (BH)</t>
  </si>
  <si>
    <t>Ke kanan… lurus (PER)</t>
  </si>
  <si>
    <t>Pandang… depan (BH)</t>
  </si>
  <si>
    <t>Pandang… depan (PER)</t>
  </si>
  <si>
    <t>Bergerak ke kiri, kiri… pusing (BH)</t>
  </si>
  <si>
    <t>Bergerak ke kiri, kiri… pusing (PER)</t>
  </si>
  <si>
    <t>Bergerak ke kanan, belakang… pusing (BH)</t>
  </si>
  <si>
    <t>Bergerak ke kanan, belakang… pusing (PER)</t>
  </si>
  <si>
    <t>Menghadap ke belakang, kanan… pusing (BH)</t>
  </si>
  <si>
    <t>Menghadap ke belakang, kanan… pusing (PER)</t>
  </si>
  <si>
    <t>Menghadap ke hadapan, belakang… pusing (BH)</t>
  </si>
  <si>
    <t>Menghadap ke hadapan, belakang… pusing (PER)</t>
  </si>
  <si>
    <t>Bergerak ke kiri, kiri… pusing (2) (BH)</t>
  </si>
  <si>
    <t>Bergerak ke kiri, kiri… pusing (2) (PER)</t>
  </si>
  <si>
    <t>Dari kanan, cepat… jalan (BH)</t>
  </si>
  <si>
    <t>Dari kanan, cepat… jalan (PER)</t>
  </si>
  <si>
    <t>Hormat ke hadapan… hormat (BH)</t>
  </si>
  <si>
    <t>Hormat ke hadapan… hormat (PER)</t>
  </si>
  <si>
    <t>Bergerak ke kiri, belakang… pusing (BH)</t>
  </si>
  <si>
    <t>Bergerak ke kiri, belakang… pusing (PER)</t>
  </si>
  <si>
    <t>Skuad Hentak… Kaki (BH)</t>
  </si>
  <si>
    <t>Skuad Hentak… Kaki (PER)</t>
  </si>
  <si>
    <t>Skuad… Henti (BH)</t>
  </si>
  <si>
    <t>Skuad… Henti (PER)</t>
  </si>
  <si>
    <t>Menghadap ke hadapan, kanan… pusing (BH)</t>
  </si>
  <si>
    <t>Menghadap ke hadapan, kanan… pusing (PER)</t>
  </si>
  <si>
    <t>CATATAN</t>
  </si>
  <si>
    <t>KWD_BAHASA_HUKUMAN</t>
  </si>
  <si>
    <t>KWD_PERGERAKAN</t>
  </si>
  <si>
    <t>MARKAH KAWAD</t>
  </si>
  <si>
    <t>MARKAHKAWAD30</t>
  </si>
  <si>
    <t>KEKEMASAN</t>
  </si>
  <si>
    <t>PENERANGAN</t>
  </si>
  <si>
    <t>ebd72ba5</t>
  </si>
  <si>
    <t>MARKAH BANTU MULA</t>
  </si>
  <si>
    <t>MARKAHBANTUMULA10</t>
  </si>
  <si>
    <t>24d002c6</t>
  </si>
  <si>
    <t>Dan</t>
  </si>
  <si>
    <t>Rid</t>
  </si>
  <si>
    <t>Tiada</t>
  </si>
  <si>
    <t>48.63</t>
  </si>
  <si>
    <t>SIMPULAN BUNGA GETI</t>
  </si>
  <si>
    <t>SIMPULAN MANUK</t>
  </si>
  <si>
    <t>IKATAN BALAK</t>
  </si>
  <si>
    <t>SIMPULAN TINDIH KASIH</t>
  </si>
  <si>
    <t>MARKAH IKATAN</t>
  </si>
  <si>
    <t>MARKAHIKATAN10</t>
  </si>
  <si>
    <t>6ceb2c63</t>
  </si>
  <si>
    <t>Ny</t>
  </si>
  <si>
    <t>12</t>
  </si>
  <si>
    <t>Arahan Masuk Baris (Doa Kawad) (BH)</t>
  </si>
  <si>
    <t>Arahan Masuk Baris (Doa Kawad) (PER)</t>
  </si>
  <si>
    <t>Selaku terima sijil, hormat ke hadapan… hormat (BH)</t>
  </si>
  <si>
    <t>Selaku terima sijil, hormat ke hadapan… hormat (PER)</t>
  </si>
  <si>
    <t>Tukar langkah semasa berjalan, tukar… langkah (3x) (BH)</t>
  </si>
  <si>
    <t>Tukar langkah semasa berjalan, tukar… langkah (3x) (PER)</t>
  </si>
  <si>
    <t>Tukar langkah perlahan, perlahan… jalan (5–9 langkah) (BH)</t>
  </si>
  <si>
    <t>Tukar langkah perlahan, perlahan… jalan (5–9 langkah) (PER)</t>
  </si>
  <si>
    <t>Bergerak ke kanan, belakang… pusing (semasa perlahan jalan) (BH)</t>
  </si>
  <si>
    <t>Bergerak ke kanan, belakang… pusing (semasa perlahan jalan) (PER)</t>
  </si>
  <si>
    <t>Tukar langkah cepat, cepat… jalan (BH)</t>
  </si>
  <si>
    <t>Tukar langkah cepat, cepat… jalan (PER)</t>
  </si>
  <si>
    <t>Bergerak ke kiri, belakang… pusing (2) (BH)</t>
  </si>
  <si>
    <t>Bergerak ke kiri, belakang… pusing (2) (PER)</t>
  </si>
  <si>
    <t>Skuad Keluar… Baris (BH)</t>
  </si>
  <si>
    <t>Skuad Keluar… Baris (PER)</t>
  </si>
  <si>
    <t>268d5327</t>
  </si>
  <si>
    <t>Cuba uji</t>
  </si>
  <si>
    <t>PATAH BAHAGIAN KETING</t>
  </si>
  <si>
    <t>KESELAMATAN DAN KESELESAAN</t>
  </si>
  <si>
    <t>SIMPULAN PENCURI</t>
  </si>
  <si>
    <t>IKATAN SERONG</t>
  </si>
  <si>
    <t>SIMPUL HIMPIT</t>
  </si>
  <si>
    <t>IKATAN BELIT LUCUT</t>
  </si>
  <si>
    <t>SIMPUL PULIH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</si>
</sst>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1" numFmtId="0" xfId="0" applyFont="1"/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readingOrder="0" vertical="center"/>
    </xf>
    <xf borderId="3" fillId="3" fontId="5" numFmtId="0" xfId="0" applyBorder="1" applyFill="1" applyFont="1"/>
    <xf borderId="4" fillId="3" fontId="5" numFmtId="0" xfId="0" applyBorder="1" applyFill="1" applyFont="1"/>
    <xf borderId="5" fillId="4" fontId="5" numFmtId="0" xfId="0" applyBorder="1" applyFill="1" applyFont="1"/>
    <xf borderId="6" fillId="4" fontId="4" numFmtId="10" xfId="0" applyAlignment="1" applyBorder="1" applyFill="1" applyFont="1" applyNumberFormat="1">
      <alignment horizontal="center" readingOrder="0" vertical="center"/>
    </xf>
    <xf borderId="6" fillId="5" fontId="1" numFmtId="0" xfId="0" applyAlignment="1" applyBorder="1" applyFill="1" applyFont="1">
      <alignment horizontal="center" readingOrder="0" vertical="center"/>
    </xf>
    <xf borderId="6" fillId="5" fontId="1" numFmtId="0" xfId="0" applyAlignment="1" applyBorder="1" applyFill="1" applyFont="1">
      <alignment readingOrder="0" vertical="center"/>
    </xf>
    <xf borderId="6" fillId="5" fontId="1" numFmtId="10" xfId="0" applyAlignment="1" applyBorder="1" applyFill="1" applyFont="1" applyNumberForma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 readingOrder="0" vertical="center"/>
    </xf>
    <xf borderId="6" fillId="4" fontId="1" numFmtId="0" xfId="0" applyAlignment="1" applyBorder="1" applyFill="1" applyFont="1">
      <alignment readingOrder="0" vertical="center"/>
    </xf>
    <xf borderId="6" fillId="4" fontId="1" numFmtId="10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readingOrder="0" vertical="center"/>
    </xf>
    <xf borderId="6" fillId="4" fontId="1" numFmtId="10" xfId="0" applyAlignment="1" applyBorder="1" applyFill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28.25"/>
    <col customWidth="1" min="5" max="5" width="13.25"/>
    <col customWidth="1" min="6" max="6" width="10.75"/>
    <col customWidth="1" min="7" max="7" width="17.0"/>
    <col customWidth="1" min="8" max="8" width="19.75"/>
    <col customWidth="1" min="9" max="9" width="13.88"/>
    <col customWidth="1" min="10" max="10" width="12.25"/>
  </cols>
  <sheetData>
    <row r="1">
      <c r="A1" s="2" t="s">
        <v>0</v>
      </c>
      <c r="B1" s="2" t="s">
        <v>1</v>
      </c>
      <c r="C1" s="4" t="s">
        <v>2</v>
      </c>
      <c r="D1" s="4" t="s">
        <v>5</v>
      </c>
      <c r="E1" s="4" t="s">
        <v>8</v>
      </c>
      <c r="F1" s="4" t="s">
        <v>3</v>
      </c>
      <c r="G1" s="5" t="s">
        <v>12</v>
      </c>
      <c r="H1" s="4" t="s">
        <v>15</v>
      </c>
      <c r="I1" s="4" t="s">
        <v>17</v>
      </c>
      <c r="J1" s="4" t="s">
        <v>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6</v>
      </c>
      <c r="B2" s="9" t="s">
        <v>49</v>
      </c>
      <c r="C2" s="10" t="s">
        <v>50</v>
      </c>
      <c r="D2" s="10" t="s">
        <v>56</v>
      </c>
      <c r="E2" s="10">
        <v>1.00904010075E11</v>
      </c>
      <c r="F2" s="10" t="s">
        <v>10</v>
      </c>
      <c r="G2" s="11" t="s">
        <v>61</v>
      </c>
      <c r="H2" s="10" t="s">
        <v>43</v>
      </c>
      <c r="I2" s="10">
        <v>1.0</v>
      </c>
      <c r="J2" s="10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9" t="s">
        <v>13</v>
      </c>
      <c r="B3" s="9" t="s">
        <v>71</v>
      </c>
      <c r="C3" s="10" t="s">
        <v>72</v>
      </c>
      <c r="D3" s="10" t="s">
        <v>56</v>
      </c>
      <c r="E3" s="10">
        <v>1.10724011547E11</v>
      </c>
      <c r="F3" s="10" t="s">
        <v>10</v>
      </c>
      <c r="G3" s="11" t="s">
        <v>61</v>
      </c>
      <c r="H3" s="10" t="s">
        <v>43</v>
      </c>
      <c r="I3" s="10">
        <v>2.0</v>
      </c>
      <c r="J3" s="10" t="s">
        <v>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9" t="s">
        <v>19</v>
      </c>
      <c r="B4" s="9" t="s">
        <v>80</v>
      </c>
      <c r="C4" s="10" t="s">
        <v>82</v>
      </c>
      <c r="D4" s="10" t="s">
        <v>56</v>
      </c>
      <c r="E4" s="10">
        <v>1.10122010221E11</v>
      </c>
      <c r="F4" s="10" t="s">
        <v>10</v>
      </c>
      <c r="G4" s="11" t="s">
        <v>61</v>
      </c>
      <c r="H4" s="10" t="s">
        <v>43</v>
      </c>
      <c r="I4" s="10">
        <v>3.0</v>
      </c>
      <c r="J4" s="10" t="s">
        <v>11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9" t="s">
        <v>23</v>
      </c>
      <c r="B5" s="9" t="s">
        <v>90</v>
      </c>
      <c r="C5" s="10" t="s">
        <v>92</v>
      </c>
      <c r="D5" s="10" t="s">
        <v>56</v>
      </c>
      <c r="E5" s="10">
        <v>1.10106011603E11</v>
      </c>
      <c r="F5" s="10" t="s">
        <v>10</v>
      </c>
      <c r="G5" s="11" t="s">
        <v>61</v>
      </c>
      <c r="H5" s="10" t="s">
        <v>43</v>
      </c>
      <c r="I5" s="10">
        <v>4.0</v>
      </c>
      <c r="J5" s="10" t="s">
        <v>11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9" t="s">
        <v>25</v>
      </c>
      <c r="B6" s="9" t="s">
        <v>98</v>
      </c>
      <c r="C6" s="10" t="s">
        <v>100</v>
      </c>
      <c r="D6" s="10" t="s">
        <v>56</v>
      </c>
      <c r="E6" s="10">
        <v>1.10315011175E11</v>
      </c>
      <c r="F6" s="10" t="s">
        <v>10</v>
      </c>
      <c r="G6" s="11" t="s">
        <v>61</v>
      </c>
      <c r="H6" s="10" t="s">
        <v>43</v>
      </c>
      <c r="I6" s="10">
        <v>5.0</v>
      </c>
      <c r="J6" s="10" t="s">
        <v>11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9" t="s">
        <v>28</v>
      </c>
      <c r="B7" s="9" t="s">
        <v>110</v>
      </c>
      <c r="C7" s="10" t="s">
        <v>100</v>
      </c>
      <c r="D7" s="10" t="s">
        <v>56</v>
      </c>
      <c r="E7" s="10">
        <v>1.00204011333E11</v>
      </c>
      <c r="F7" s="10" t="s">
        <v>10</v>
      </c>
      <c r="G7" s="11" t="s">
        <v>61</v>
      </c>
      <c r="H7" s="10" t="s">
        <v>43</v>
      </c>
      <c r="I7" s="10">
        <v>6.0</v>
      </c>
      <c r="J7" s="10" t="s">
        <v>11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9" t="s">
        <v>31</v>
      </c>
      <c r="B8" s="9" t="s">
        <v>119</v>
      </c>
      <c r="C8" s="10" t="s">
        <v>59</v>
      </c>
      <c r="D8" s="10" t="s">
        <v>56</v>
      </c>
      <c r="E8" s="10">
        <v>1.10615010609E11</v>
      </c>
      <c r="F8" s="10" t="s">
        <v>10</v>
      </c>
      <c r="G8" s="11" t="s">
        <v>61</v>
      </c>
      <c r="H8" s="10" t="s">
        <v>43</v>
      </c>
      <c r="I8" s="10">
        <v>7.0</v>
      </c>
      <c r="J8" s="10" t="s">
        <v>11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9" t="s">
        <v>35</v>
      </c>
      <c r="B9" s="9" t="s">
        <v>130</v>
      </c>
      <c r="C9" s="10" t="s">
        <v>132</v>
      </c>
      <c r="D9" s="10" t="s">
        <v>56</v>
      </c>
      <c r="E9" s="10">
        <v>1.00124010293E11</v>
      </c>
      <c r="F9" s="10" t="s">
        <v>10</v>
      </c>
      <c r="G9" s="11" t="s">
        <v>61</v>
      </c>
      <c r="H9" s="10" t="s">
        <v>43</v>
      </c>
      <c r="I9" s="10">
        <v>8.0</v>
      </c>
      <c r="J9" s="10" t="s">
        <v>11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9" t="s">
        <v>39</v>
      </c>
      <c r="B10" s="9" t="s">
        <v>145</v>
      </c>
      <c r="C10" s="10" t="s">
        <v>27</v>
      </c>
      <c r="D10" s="10" t="s">
        <v>56</v>
      </c>
      <c r="E10" s="10">
        <v>1.10614010033E11</v>
      </c>
      <c r="F10" s="10" t="s">
        <v>10</v>
      </c>
      <c r="G10" s="11" t="s">
        <v>61</v>
      </c>
      <c r="H10" s="10" t="s">
        <v>43</v>
      </c>
      <c r="I10" s="10">
        <v>9.0</v>
      </c>
      <c r="J10" s="10" t="s">
        <v>11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9" t="s">
        <v>44</v>
      </c>
      <c r="B11" s="9" t="s">
        <v>158</v>
      </c>
      <c r="C11" s="10" t="s">
        <v>27</v>
      </c>
      <c r="D11" s="10" t="s">
        <v>56</v>
      </c>
      <c r="E11" s="10">
        <v>1.10225011315E11</v>
      </c>
      <c r="F11" s="10" t="s">
        <v>10</v>
      </c>
      <c r="G11" s="11" t="s">
        <v>61</v>
      </c>
      <c r="H11" s="10" t="s">
        <v>43</v>
      </c>
      <c r="I11" s="10">
        <v>10.0</v>
      </c>
      <c r="J11" s="10" t="s">
        <v>11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9" t="s">
        <v>171</v>
      </c>
      <c r="B12" s="9" t="s">
        <v>172</v>
      </c>
      <c r="C12" s="10" t="s">
        <v>27</v>
      </c>
      <c r="D12" s="10" t="s">
        <v>56</v>
      </c>
      <c r="E12" s="10">
        <v>1.10713011461E11</v>
      </c>
      <c r="F12" s="10" t="s">
        <v>10</v>
      </c>
      <c r="G12" s="11" t="s">
        <v>61</v>
      </c>
      <c r="H12" s="10" t="s">
        <v>43</v>
      </c>
      <c r="I12" s="10">
        <v>11.0</v>
      </c>
      <c r="J12" s="10" t="s">
        <v>11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9" t="s">
        <v>46</v>
      </c>
      <c r="B13" s="9" t="s">
        <v>183</v>
      </c>
      <c r="C13" s="10" t="s">
        <v>27</v>
      </c>
      <c r="D13" s="10" t="s">
        <v>56</v>
      </c>
      <c r="E13" s="10">
        <v>1.10813011047E11</v>
      </c>
      <c r="F13" s="10" t="s">
        <v>10</v>
      </c>
      <c r="G13" s="11" t="s">
        <v>61</v>
      </c>
      <c r="H13" s="10" t="s">
        <v>43</v>
      </c>
      <c r="I13" s="10">
        <v>12.0</v>
      </c>
      <c r="J13" s="10" t="s">
        <v>11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9" t="s">
        <v>51</v>
      </c>
      <c r="B14" s="9" t="s">
        <v>193</v>
      </c>
      <c r="C14" s="10" t="s">
        <v>125</v>
      </c>
      <c r="D14" s="10" t="s">
        <v>56</v>
      </c>
      <c r="E14" s="10">
        <v>1.20328011421E11</v>
      </c>
      <c r="F14" s="10" t="s">
        <v>10</v>
      </c>
      <c r="G14" s="11" t="s">
        <v>61</v>
      </c>
      <c r="H14" s="10" t="s">
        <v>43</v>
      </c>
      <c r="I14" s="10">
        <v>13.0</v>
      </c>
      <c r="J14" s="10" t="s">
        <v>38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9" t="s">
        <v>53</v>
      </c>
      <c r="B15" s="9" t="s">
        <v>202</v>
      </c>
      <c r="C15" s="10" t="s">
        <v>203</v>
      </c>
      <c r="D15" s="10" t="s">
        <v>56</v>
      </c>
      <c r="E15" s="10">
        <v>1.01129011847E11</v>
      </c>
      <c r="F15" s="10" t="s">
        <v>10</v>
      </c>
      <c r="G15" s="11" t="s">
        <v>61</v>
      </c>
      <c r="H15" s="10" t="s">
        <v>43</v>
      </c>
      <c r="I15" s="10">
        <v>14.0</v>
      </c>
      <c r="J15" s="10" t="s">
        <v>11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9" t="s">
        <v>57</v>
      </c>
      <c r="B16" s="9" t="s">
        <v>215</v>
      </c>
      <c r="C16" s="10" t="s">
        <v>166</v>
      </c>
      <c r="D16" s="10" t="s">
        <v>56</v>
      </c>
      <c r="E16" s="10">
        <v>1.20904012095E11</v>
      </c>
      <c r="F16" s="10" t="s">
        <v>10</v>
      </c>
      <c r="G16" s="11" t="s">
        <v>61</v>
      </c>
      <c r="H16" s="10" t="s">
        <v>43</v>
      </c>
      <c r="I16" s="10">
        <v>15.0</v>
      </c>
      <c r="J16" s="10" t="s">
        <v>38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9" t="s">
        <v>60</v>
      </c>
      <c r="B17" s="9" t="s">
        <v>225</v>
      </c>
      <c r="C17" s="10" t="s">
        <v>226</v>
      </c>
      <c r="D17" s="10" t="s">
        <v>56</v>
      </c>
      <c r="E17" s="10">
        <v>1.20803103019E11</v>
      </c>
      <c r="F17" s="10" t="s">
        <v>10</v>
      </c>
      <c r="G17" s="11" t="s">
        <v>61</v>
      </c>
      <c r="H17" s="10" t="s">
        <v>43</v>
      </c>
      <c r="I17" s="10">
        <v>16.0</v>
      </c>
      <c r="J17" s="10" t="s">
        <v>11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9" t="s">
        <v>63</v>
      </c>
      <c r="B18" s="9" t="s">
        <v>237</v>
      </c>
      <c r="C18" s="10" t="s">
        <v>238</v>
      </c>
      <c r="D18" s="10" t="s">
        <v>56</v>
      </c>
      <c r="E18" s="10" t="s">
        <v>240</v>
      </c>
      <c r="F18" s="10" t="s">
        <v>10</v>
      </c>
      <c r="G18" s="11" t="s">
        <v>61</v>
      </c>
      <c r="H18" s="10" t="s">
        <v>43</v>
      </c>
      <c r="I18" s="10">
        <v>17.0</v>
      </c>
      <c r="J18" s="10" t="s">
        <v>38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9" t="s">
        <v>65</v>
      </c>
      <c r="B19" s="9" t="s">
        <v>247</v>
      </c>
      <c r="C19" s="10" t="s">
        <v>48</v>
      </c>
      <c r="D19" s="10" t="s">
        <v>56</v>
      </c>
      <c r="E19" s="10">
        <v>1.10425010835E11</v>
      </c>
      <c r="F19" s="10" t="s">
        <v>10</v>
      </c>
      <c r="G19" s="11" t="s">
        <v>61</v>
      </c>
      <c r="H19" s="10" t="s">
        <v>43</v>
      </c>
      <c r="I19" s="10">
        <v>18.0</v>
      </c>
      <c r="J19" s="10" t="s">
        <v>11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9" t="s">
        <v>67</v>
      </c>
      <c r="B20" s="9" t="s">
        <v>260</v>
      </c>
      <c r="C20" s="10" t="s">
        <v>48</v>
      </c>
      <c r="D20" s="10" t="s">
        <v>56</v>
      </c>
      <c r="E20" s="10">
        <v>1.10816011405E11</v>
      </c>
      <c r="F20" s="10" t="s">
        <v>10</v>
      </c>
      <c r="G20" s="11" t="s">
        <v>61</v>
      </c>
      <c r="H20" s="10" t="s">
        <v>43</v>
      </c>
      <c r="I20" s="10">
        <v>19.0</v>
      </c>
      <c r="J20" s="10" t="s">
        <v>11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9" t="s">
        <v>69</v>
      </c>
      <c r="B21" s="9" t="s">
        <v>271</v>
      </c>
      <c r="C21" s="10" t="s">
        <v>48</v>
      </c>
      <c r="D21" s="10" t="s">
        <v>56</v>
      </c>
      <c r="E21" s="10">
        <v>1.10116010567E11</v>
      </c>
      <c r="F21" s="10" t="s">
        <v>10</v>
      </c>
      <c r="G21" s="11" t="s">
        <v>61</v>
      </c>
      <c r="H21" s="10" t="s">
        <v>43</v>
      </c>
      <c r="I21" s="10">
        <v>20.0</v>
      </c>
      <c r="J21" s="10" t="s">
        <v>11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9" t="s">
        <v>281</v>
      </c>
      <c r="B22" s="9" t="s">
        <v>282</v>
      </c>
      <c r="C22" s="10" t="s">
        <v>48</v>
      </c>
      <c r="D22" s="10" t="s">
        <v>56</v>
      </c>
      <c r="E22" s="10">
        <v>1.11031010343E11</v>
      </c>
      <c r="F22" s="10" t="s">
        <v>10</v>
      </c>
      <c r="G22" s="11" t="s">
        <v>61</v>
      </c>
      <c r="H22" s="10" t="s">
        <v>43</v>
      </c>
      <c r="I22" s="10">
        <v>21.0</v>
      </c>
      <c r="J22" s="10" t="s">
        <v>11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9" t="s">
        <v>73</v>
      </c>
      <c r="B23" s="9" t="s">
        <v>295</v>
      </c>
      <c r="C23" s="10" t="s">
        <v>48</v>
      </c>
      <c r="D23" s="10" t="s">
        <v>56</v>
      </c>
      <c r="E23" s="10">
        <v>1.20809011027E11</v>
      </c>
      <c r="F23" s="10" t="s">
        <v>10</v>
      </c>
      <c r="G23" s="11" t="s">
        <v>61</v>
      </c>
      <c r="H23" s="10" t="s">
        <v>43</v>
      </c>
      <c r="I23" s="10">
        <v>22.0</v>
      </c>
      <c r="J23" s="10" t="s">
        <v>11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9" t="s">
        <v>305</v>
      </c>
      <c r="B24" s="9" t="s">
        <v>307</v>
      </c>
      <c r="C24" s="10" t="s">
        <v>309</v>
      </c>
      <c r="D24" s="10" t="s">
        <v>56</v>
      </c>
      <c r="E24" s="10">
        <v>1.21118010089E11</v>
      </c>
      <c r="F24" s="10" t="s">
        <v>10</v>
      </c>
      <c r="G24" s="11" t="s">
        <v>61</v>
      </c>
      <c r="H24" s="10" t="s">
        <v>43</v>
      </c>
      <c r="I24" s="10">
        <v>23.0</v>
      </c>
      <c r="J24" s="10" t="s">
        <v>11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9" t="s">
        <v>320</v>
      </c>
      <c r="B25" s="9" t="s">
        <v>322</v>
      </c>
      <c r="C25" s="10" t="s">
        <v>323</v>
      </c>
      <c r="D25" s="10" t="s">
        <v>56</v>
      </c>
      <c r="E25" s="10">
        <v>1.11119010576E11</v>
      </c>
      <c r="F25" s="10" t="s">
        <v>10</v>
      </c>
      <c r="G25" s="11" t="s">
        <v>61</v>
      </c>
      <c r="H25" s="10" t="s">
        <v>43</v>
      </c>
      <c r="I25" s="10">
        <v>24.0</v>
      </c>
      <c r="J25" s="10" t="s">
        <v>11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9" t="s">
        <v>333</v>
      </c>
      <c r="B26" s="9" t="s">
        <v>335</v>
      </c>
      <c r="C26" s="10" t="s">
        <v>336</v>
      </c>
      <c r="D26" s="10" t="s">
        <v>56</v>
      </c>
      <c r="E26" s="10">
        <v>1.10612010099E11</v>
      </c>
      <c r="F26" s="10" t="s">
        <v>10</v>
      </c>
      <c r="G26" s="11" t="s">
        <v>61</v>
      </c>
      <c r="H26" s="10" t="s">
        <v>43</v>
      </c>
      <c r="I26" s="10">
        <v>25.0</v>
      </c>
      <c r="J26" s="10" t="s">
        <v>11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9" t="s">
        <v>346</v>
      </c>
      <c r="B27" s="9" t="s">
        <v>348</v>
      </c>
      <c r="C27" s="10" t="s">
        <v>349</v>
      </c>
      <c r="D27" s="10" t="s">
        <v>56</v>
      </c>
      <c r="E27" s="10">
        <v>1.00402080655E11</v>
      </c>
      <c r="F27" s="10" t="s">
        <v>10</v>
      </c>
      <c r="G27" s="11" t="s">
        <v>61</v>
      </c>
      <c r="H27" s="10" t="s">
        <v>43</v>
      </c>
      <c r="I27" s="10">
        <v>26.0</v>
      </c>
      <c r="J27" s="10" t="s">
        <v>38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9" t="s">
        <v>361</v>
      </c>
      <c r="B28" s="9" t="s">
        <v>362</v>
      </c>
      <c r="C28" s="10" t="s">
        <v>16</v>
      </c>
      <c r="D28" s="10" t="s">
        <v>56</v>
      </c>
      <c r="E28" s="10">
        <v>1.00508010911E11</v>
      </c>
      <c r="F28" s="10" t="s">
        <v>10</v>
      </c>
      <c r="G28" s="11" t="s">
        <v>61</v>
      </c>
      <c r="H28" s="10" t="s">
        <v>43</v>
      </c>
      <c r="I28" s="10">
        <v>27.0</v>
      </c>
      <c r="J28" s="10" t="s">
        <v>11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9" t="s">
        <v>375</v>
      </c>
      <c r="B29" s="9" t="s">
        <v>377</v>
      </c>
      <c r="C29" s="10" t="s">
        <v>16</v>
      </c>
      <c r="D29" s="10" t="s">
        <v>56</v>
      </c>
      <c r="E29" s="10">
        <v>1.11208030121E11</v>
      </c>
      <c r="F29" s="10" t="s">
        <v>10</v>
      </c>
      <c r="G29" s="11" t="s">
        <v>61</v>
      </c>
      <c r="H29" s="10" t="s">
        <v>43</v>
      </c>
      <c r="I29" s="10">
        <v>28.0</v>
      </c>
      <c r="J29" s="10" t="s">
        <v>11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9" t="s">
        <v>75</v>
      </c>
      <c r="B30" s="9" t="s">
        <v>385</v>
      </c>
      <c r="C30" s="10" t="s">
        <v>50</v>
      </c>
      <c r="D30" s="10" t="s">
        <v>56</v>
      </c>
      <c r="E30" s="10">
        <v>1.00910100173E11</v>
      </c>
      <c r="F30" s="10" t="s">
        <v>10</v>
      </c>
      <c r="G30" s="11" t="s">
        <v>61</v>
      </c>
      <c r="H30" s="10" t="s">
        <v>143</v>
      </c>
      <c r="I30" s="10">
        <v>1.0</v>
      </c>
      <c r="J30" s="10" t="s">
        <v>11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9" t="s">
        <v>77</v>
      </c>
      <c r="B31" s="9" t="s">
        <v>395</v>
      </c>
      <c r="C31" s="10" t="s">
        <v>397</v>
      </c>
      <c r="D31" s="10" t="s">
        <v>56</v>
      </c>
      <c r="E31" s="10">
        <v>1.10626140089E11</v>
      </c>
      <c r="F31" s="10" t="s">
        <v>10</v>
      </c>
      <c r="G31" s="11" t="s">
        <v>61</v>
      </c>
      <c r="H31" s="10" t="s">
        <v>143</v>
      </c>
      <c r="I31" s="10">
        <v>2.0</v>
      </c>
      <c r="J31" s="10" t="s">
        <v>11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9" t="s">
        <v>79</v>
      </c>
      <c r="B32" s="9" t="s">
        <v>406</v>
      </c>
      <c r="C32" s="10" t="s">
        <v>82</v>
      </c>
      <c r="D32" s="10" t="s">
        <v>56</v>
      </c>
      <c r="E32" s="10">
        <v>1.10124010591E11</v>
      </c>
      <c r="F32" s="10" t="s">
        <v>10</v>
      </c>
      <c r="G32" s="11" t="s">
        <v>61</v>
      </c>
      <c r="H32" s="10" t="s">
        <v>143</v>
      </c>
      <c r="I32" s="10">
        <v>3.0</v>
      </c>
      <c r="J32" s="10" t="s">
        <v>11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9" t="s">
        <v>83</v>
      </c>
      <c r="B33" s="9" t="s">
        <v>414</v>
      </c>
      <c r="C33" s="10" t="s">
        <v>92</v>
      </c>
      <c r="D33" s="10" t="s">
        <v>56</v>
      </c>
      <c r="E33" s="10">
        <v>1.10206010341E11</v>
      </c>
      <c r="F33" s="10" t="s">
        <v>10</v>
      </c>
      <c r="G33" s="11" t="s">
        <v>61</v>
      </c>
      <c r="H33" s="10" t="s">
        <v>143</v>
      </c>
      <c r="I33" s="10">
        <v>4.0</v>
      </c>
      <c r="J33" s="10" t="s">
        <v>11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9" t="s">
        <v>85</v>
      </c>
      <c r="B34" s="9" t="s">
        <v>424</v>
      </c>
      <c r="C34" s="10" t="s">
        <v>100</v>
      </c>
      <c r="D34" s="10" t="s">
        <v>56</v>
      </c>
      <c r="E34" s="10">
        <v>1.01218010061E11</v>
      </c>
      <c r="F34" s="10" t="s">
        <v>10</v>
      </c>
      <c r="G34" s="11" t="s">
        <v>61</v>
      </c>
      <c r="H34" s="10" t="s">
        <v>143</v>
      </c>
      <c r="I34" s="10">
        <v>5.0</v>
      </c>
      <c r="J34" s="10" t="s">
        <v>11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9" t="s">
        <v>88</v>
      </c>
      <c r="B35" s="9" t="s">
        <v>434</v>
      </c>
      <c r="C35" s="10" t="s">
        <v>435</v>
      </c>
      <c r="D35" s="10" t="s">
        <v>56</v>
      </c>
      <c r="E35" s="10">
        <v>1.01024011189E11</v>
      </c>
      <c r="F35" s="10" t="s">
        <v>10</v>
      </c>
      <c r="G35" s="11" t="s">
        <v>61</v>
      </c>
      <c r="H35" s="10" t="s">
        <v>143</v>
      </c>
      <c r="I35" s="10">
        <v>6.0</v>
      </c>
      <c r="J35" s="10" t="s">
        <v>11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9" t="s">
        <v>91</v>
      </c>
      <c r="B36" s="9" t="s">
        <v>443</v>
      </c>
      <c r="C36" s="10" t="s">
        <v>59</v>
      </c>
      <c r="D36" s="10" t="s">
        <v>56</v>
      </c>
      <c r="E36" s="10">
        <v>1.1041301031E11</v>
      </c>
      <c r="F36" s="10" t="s">
        <v>10</v>
      </c>
      <c r="G36" s="11" t="s">
        <v>61</v>
      </c>
      <c r="H36" s="10" t="s">
        <v>143</v>
      </c>
      <c r="I36" s="10">
        <v>7.0</v>
      </c>
      <c r="J36" s="10" t="s">
        <v>38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9" t="s">
        <v>94</v>
      </c>
      <c r="B37" s="9" t="s">
        <v>451</v>
      </c>
      <c r="C37" s="10" t="s">
        <v>27</v>
      </c>
      <c r="D37" s="10" t="s">
        <v>56</v>
      </c>
      <c r="E37" s="10">
        <v>1.10518010893E11</v>
      </c>
      <c r="F37" s="10" t="s">
        <v>10</v>
      </c>
      <c r="G37" s="11" t="s">
        <v>61</v>
      </c>
      <c r="H37" s="10" t="s">
        <v>143</v>
      </c>
      <c r="I37" s="10">
        <v>8.0</v>
      </c>
      <c r="J37" s="10" t="s">
        <v>11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9" t="s">
        <v>459</v>
      </c>
      <c r="B38" s="9" t="s">
        <v>460</v>
      </c>
      <c r="C38" s="10" t="s">
        <v>27</v>
      </c>
      <c r="D38" s="10" t="s">
        <v>56</v>
      </c>
      <c r="E38" s="10">
        <v>1.10227121307E11</v>
      </c>
      <c r="F38" s="10" t="s">
        <v>10</v>
      </c>
      <c r="G38" s="11" t="s">
        <v>61</v>
      </c>
      <c r="H38" s="10" t="s">
        <v>143</v>
      </c>
      <c r="I38" s="10">
        <v>9.0</v>
      </c>
      <c r="J38" s="10" t="s">
        <v>11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9" t="s">
        <v>96</v>
      </c>
      <c r="B39" s="9" t="s">
        <v>461</v>
      </c>
      <c r="C39" s="10" t="s">
        <v>27</v>
      </c>
      <c r="D39" s="10" t="s">
        <v>56</v>
      </c>
      <c r="E39" s="10">
        <v>1.10816011579E11</v>
      </c>
      <c r="F39" s="10" t="s">
        <v>10</v>
      </c>
      <c r="G39" s="11" t="s">
        <v>61</v>
      </c>
      <c r="H39" s="10" t="s">
        <v>143</v>
      </c>
      <c r="I39" s="10">
        <v>10.0</v>
      </c>
      <c r="J39" s="10" t="s">
        <v>11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9" t="s">
        <v>99</v>
      </c>
      <c r="B40" s="9" t="s">
        <v>464</v>
      </c>
      <c r="C40" s="10" t="s">
        <v>27</v>
      </c>
      <c r="D40" s="10" t="s">
        <v>56</v>
      </c>
      <c r="E40" s="10">
        <v>1.20804011319E11</v>
      </c>
      <c r="F40" s="10" t="s">
        <v>10</v>
      </c>
      <c r="G40" s="11" t="s">
        <v>61</v>
      </c>
      <c r="H40" s="10" t="s">
        <v>143</v>
      </c>
      <c r="I40" s="10">
        <v>11.0</v>
      </c>
      <c r="J40" s="10" t="s">
        <v>11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9" t="s">
        <v>102</v>
      </c>
      <c r="B41" s="9" t="s">
        <v>467</v>
      </c>
      <c r="C41" s="10" t="s">
        <v>27</v>
      </c>
      <c r="D41" s="10" t="s">
        <v>56</v>
      </c>
      <c r="E41" s="10">
        <v>1.11025010187E11</v>
      </c>
      <c r="F41" s="10" t="s">
        <v>10</v>
      </c>
      <c r="G41" s="11" t="s">
        <v>61</v>
      </c>
      <c r="H41" s="10" t="s">
        <v>143</v>
      </c>
      <c r="I41" s="10">
        <v>12.0</v>
      </c>
      <c r="J41" s="10" t="s">
        <v>11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9" t="s">
        <v>104</v>
      </c>
      <c r="B42" s="9" t="s">
        <v>472</v>
      </c>
      <c r="C42" s="10" t="s">
        <v>146</v>
      </c>
      <c r="D42" s="10" t="s">
        <v>56</v>
      </c>
      <c r="E42" s="10">
        <v>1.10701010955E11</v>
      </c>
      <c r="F42" s="10" t="s">
        <v>10</v>
      </c>
      <c r="G42" s="11" t="s">
        <v>61</v>
      </c>
      <c r="H42" s="10" t="s">
        <v>143</v>
      </c>
      <c r="I42" s="10">
        <v>13.0</v>
      </c>
      <c r="J42" s="10" t="s">
        <v>11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9" t="s">
        <v>108</v>
      </c>
      <c r="B43" s="9" t="s">
        <v>475</v>
      </c>
      <c r="C43" s="10" t="s">
        <v>203</v>
      </c>
      <c r="D43" s="10" t="s">
        <v>56</v>
      </c>
      <c r="E43" s="10">
        <v>1.00908011411E11</v>
      </c>
      <c r="F43" s="10" t="s">
        <v>10</v>
      </c>
      <c r="G43" s="11" t="s">
        <v>61</v>
      </c>
      <c r="H43" s="10" t="s">
        <v>143</v>
      </c>
      <c r="I43" s="10">
        <v>14.0</v>
      </c>
      <c r="J43" s="10" t="s">
        <v>11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9" t="s">
        <v>111</v>
      </c>
      <c r="B44" s="9" t="s">
        <v>476</v>
      </c>
      <c r="C44" s="10" t="s">
        <v>166</v>
      </c>
      <c r="D44" s="10" t="s">
        <v>56</v>
      </c>
      <c r="E44" s="10">
        <v>1.11216011123E11</v>
      </c>
      <c r="F44" s="10" t="s">
        <v>10</v>
      </c>
      <c r="G44" s="11" t="s">
        <v>61</v>
      </c>
      <c r="H44" s="10" t="s">
        <v>143</v>
      </c>
      <c r="I44" s="10">
        <v>15.0</v>
      </c>
      <c r="J44" s="10" t="s">
        <v>38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9" t="s">
        <v>113</v>
      </c>
      <c r="B45" s="9" t="s">
        <v>479</v>
      </c>
      <c r="C45" s="10" t="s">
        <v>226</v>
      </c>
      <c r="D45" s="10" t="s">
        <v>56</v>
      </c>
      <c r="E45" s="10">
        <v>1.11123010025E11</v>
      </c>
      <c r="F45" s="10" t="s">
        <v>10</v>
      </c>
      <c r="G45" s="11" t="s">
        <v>61</v>
      </c>
      <c r="H45" s="10" t="s">
        <v>143</v>
      </c>
      <c r="I45" s="10">
        <v>16.0</v>
      </c>
      <c r="J45" s="10" t="s">
        <v>11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9" t="s">
        <v>115</v>
      </c>
      <c r="B46" s="9" t="s">
        <v>480</v>
      </c>
      <c r="C46" s="10" t="s">
        <v>238</v>
      </c>
      <c r="D46" s="10" t="s">
        <v>56</v>
      </c>
      <c r="E46" s="10">
        <v>1.11020011543E11</v>
      </c>
      <c r="F46" s="10" t="s">
        <v>10</v>
      </c>
      <c r="G46" s="11" t="s">
        <v>61</v>
      </c>
      <c r="H46" s="10" t="s">
        <v>143</v>
      </c>
      <c r="I46" s="10">
        <v>17.0</v>
      </c>
      <c r="J46" s="10" t="s">
        <v>11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9" t="s">
        <v>121</v>
      </c>
      <c r="B47" s="9" t="s">
        <v>481</v>
      </c>
      <c r="C47" s="10" t="s">
        <v>48</v>
      </c>
      <c r="D47" s="10" t="s">
        <v>56</v>
      </c>
      <c r="E47" s="10">
        <v>1.01104010733E11</v>
      </c>
      <c r="F47" s="10" t="s">
        <v>10</v>
      </c>
      <c r="G47" s="11" t="s">
        <v>61</v>
      </c>
      <c r="H47" s="10" t="s">
        <v>143</v>
      </c>
      <c r="I47" s="10">
        <v>18.0</v>
      </c>
      <c r="J47" s="10" t="s">
        <v>11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9" t="s">
        <v>123</v>
      </c>
      <c r="B48" s="9" t="s">
        <v>482</v>
      </c>
      <c r="C48" s="10" t="s">
        <v>48</v>
      </c>
      <c r="D48" s="10" t="s">
        <v>56</v>
      </c>
      <c r="E48" s="10">
        <v>1.10930141393E11</v>
      </c>
      <c r="F48" s="10" t="s">
        <v>10</v>
      </c>
      <c r="G48" s="11" t="s">
        <v>61</v>
      </c>
      <c r="H48" s="10" t="s">
        <v>143</v>
      </c>
      <c r="I48" s="10">
        <v>19.0</v>
      </c>
      <c r="J48" s="10" t="s">
        <v>11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9" t="s">
        <v>127</v>
      </c>
      <c r="B49" s="9" t="s">
        <v>484</v>
      </c>
      <c r="C49" s="10" t="s">
        <v>48</v>
      </c>
      <c r="D49" s="10" t="s">
        <v>56</v>
      </c>
      <c r="E49" s="10">
        <v>1.10301010657E11</v>
      </c>
      <c r="F49" s="10" t="s">
        <v>10</v>
      </c>
      <c r="G49" s="11" t="s">
        <v>61</v>
      </c>
      <c r="H49" s="10" t="s">
        <v>143</v>
      </c>
      <c r="I49" s="10">
        <v>20.0</v>
      </c>
      <c r="J49" s="10" t="s">
        <v>11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9" t="s">
        <v>131</v>
      </c>
      <c r="B50" s="9" t="s">
        <v>490</v>
      </c>
      <c r="C50" s="10" t="s">
        <v>48</v>
      </c>
      <c r="D50" s="10" t="s">
        <v>56</v>
      </c>
      <c r="E50" s="10">
        <v>1.21231010259E11</v>
      </c>
      <c r="F50" s="10" t="s">
        <v>10</v>
      </c>
      <c r="G50" s="11" t="s">
        <v>61</v>
      </c>
      <c r="H50" s="10" t="s">
        <v>143</v>
      </c>
      <c r="I50" s="10">
        <v>21.0</v>
      </c>
      <c r="J50" s="10" t="s">
        <v>11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9" t="s">
        <v>134</v>
      </c>
      <c r="B51" s="9" t="s">
        <v>495</v>
      </c>
      <c r="C51" s="10" t="s">
        <v>48</v>
      </c>
      <c r="D51" s="10" t="s">
        <v>56</v>
      </c>
      <c r="E51" s="10">
        <v>1.00415010285E11</v>
      </c>
      <c r="F51" s="10" t="s">
        <v>10</v>
      </c>
      <c r="G51" s="11" t="s">
        <v>61</v>
      </c>
      <c r="H51" s="10" t="s">
        <v>143</v>
      </c>
      <c r="I51" s="10">
        <v>22.0</v>
      </c>
      <c r="J51" s="10" t="s">
        <v>11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9" t="s">
        <v>497</v>
      </c>
      <c r="B52" s="9" t="s">
        <v>499</v>
      </c>
      <c r="C52" s="10" t="s">
        <v>309</v>
      </c>
      <c r="D52" s="10" t="s">
        <v>56</v>
      </c>
      <c r="E52" s="10">
        <v>1.10605011173E11</v>
      </c>
      <c r="F52" s="10" t="s">
        <v>10</v>
      </c>
      <c r="G52" s="11" t="s">
        <v>61</v>
      </c>
      <c r="H52" s="10" t="s">
        <v>143</v>
      </c>
      <c r="I52" s="10">
        <v>23.0</v>
      </c>
      <c r="J52" s="10" t="s">
        <v>11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9" t="s">
        <v>504</v>
      </c>
      <c r="B53" s="9" t="s">
        <v>505</v>
      </c>
      <c r="C53" s="10" t="s">
        <v>21</v>
      </c>
      <c r="D53" s="10" t="s">
        <v>56</v>
      </c>
      <c r="E53" s="10">
        <v>1.21216011085E11</v>
      </c>
      <c r="F53" s="10" t="s">
        <v>10</v>
      </c>
      <c r="G53" s="11" t="s">
        <v>61</v>
      </c>
      <c r="H53" s="10" t="s">
        <v>143</v>
      </c>
      <c r="I53" s="10">
        <v>24.0</v>
      </c>
      <c r="J53" s="10" t="s">
        <v>11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9" t="s">
        <v>510</v>
      </c>
      <c r="B54" s="9" t="s">
        <v>511</v>
      </c>
      <c r="C54" s="10" t="s">
        <v>336</v>
      </c>
      <c r="D54" s="10" t="s">
        <v>56</v>
      </c>
      <c r="E54" s="10">
        <v>1.10111050287E11</v>
      </c>
      <c r="F54" s="10" t="s">
        <v>10</v>
      </c>
      <c r="G54" s="11" t="s">
        <v>61</v>
      </c>
      <c r="H54" s="10" t="s">
        <v>143</v>
      </c>
      <c r="I54" s="10">
        <v>25.0</v>
      </c>
      <c r="J54" s="10" t="s">
        <v>11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9" t="s">
        <v>516</v>
      </c>
      <c r="B55" s="9" t="s">
        <v>517</v>
      </c>
      <c r="C55" s="10" t="s">
        <v>16</v>
      </c>
      <c r="D55" s="10" t="s">
        <v>56</v>
      </c>
      <c r="E55" s="10">
        <v>1.10326012077E11</v>
      </c>
      <c r="F55" s="10" t="s">
        <v>10</v>
      </c>
      <c r="G55" s="11" t="s">
        <v>61</v>
      </c>
      <c r="H55" s="10" t="s">
        <v>143</v>
      </c>
      <c r="I55" s="10">
        <v>26.0</v>
      </c>
      <c r="J55" s="10" t="s">
        <v>11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9" t="s">
        <v>522</v>
      </c>
      <c r="B56" s="9" t="s">
        <v>523</v>
      </c>
      <c r="C56" s="10" t="s">
        <v>16</v>
      </c>
      <c r="D56" s="10" t="s">
        <v>56</v>
      </c>
      <c r="E56" s="10">
        <v>1.10807011083E11</v>
      </c>
      <c r="F56" s="10" t="s">
        <v>10</v>
      </c>
      <c r="G56" s="11" t="s">
        <v>61</v>
      </c>
      <c r="H56" s="10" t="s">
        <v>143</v>
      </c>
      <c r="I56" s="10">
        <v>27.0</v>
      </c>
      <c r="J56" s="10" t="s">
        <v>11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9" t="s">
        <v>526</v>
      </c>
      <c r="B57" s="9" t="s">
        <v>527</v>
      </c>
      <c r="C57" s="10" t="s">
        <v>72</v>
      </c>
      <c r="D57" s="10" t="s">
        <v>56</v>
      </c>
      <c r="E57" s="10">
        <v>1.10718140545E11</v>
      </c>
      <c r="F57" s="10" t="s">
        <v>10</v>
      </c>
      <c r="G57" s="11" t="s">
        <v>61</v>
      </c>
      <c r="H57" s="10" t="s">
        <v>175</v>
      </c>
      <c r="I57" s="10">
        <v>1.0</v>
      </c>
      <c r="J57" s="10" t="s">
        <v>11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9" t="s">
        <v>532</v>
      </c>
      <c r="B58" s="9" t="s">
        <v>533</v>
      </c>
      <c r="C58" s="10" t="s">
        <v>397</v>
      </c>
      <c r="D58" s="10" t="s">
        <v>56</v>
      </c>
      <c r="E58" s="10">
        <v>1.20322010241E11</v>
      </c>
      <c r="F58" s="10" t="s">
        <v>10</v>
      </c>
      <c r="G58" s="11" t="s">
        <v>61</v>
      </c>
      <c r="H58" s="10" t="s">
        <v>175</v>
      </c>
      <c r="I58" s="10">
        <v>2.0</v>
      </c>
      <c r="J58" s="10" t="s">
        <v>11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9" t="s">
        <v>534</v>
      </c>
      <c r="B59" s="9" t="s">
        <v>535</v>
      </c>
      <c r="C59" s="10" t="s">
        <v>82</v>
      </c>
      <c r="D59" s="10" t="s">
        <v>56</v>
      </c>
      <c r="E59" s="10">
        <v>1.01010012607E11</v>
      </c>
      <c r="F59" s="10" t="s">
        <v>10</v>
      </c>
      <c r="G59" s="11" t="s">
        <v>61</v>
      </c>
      <c r="H59" s="10" t="s">
        <v>175</v>
      </c>
      <c r="I59" s="10">
        <v>3.0</v>
      </c>
      <c r="J59" s="10" t="s">
        <v>11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9" t="s">
        <v>540</v>
      </c>
      <c r="B60" s="9" t="s">
        <v>541</v>
      </c>
      <c r="C60" s="10" t="s">
        <v>542</v>
      </c>
      <c r="D60" s="10" t="s">
        <v>56</v>
      </c>
      <c r="E60" s="10">
        <v>1.10503010495E11</v>
      </c>
      <c r="F60" s="10" t="s">
        <v>10</v>
      </c>
      <c r="G60" s="11" t="s">
        <v>61</v>
      </c>
      <c r="H60" s="10" t="s">
        <v>175</v>
      </c>
      <c r="I60" s="10">
        <v>4.0</v>
      </c>
      <c r="J60" s="10" t="s">
        <v>11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9" t="s">
        <v>545</v>
      </c>
      <c r="B61" s="9" t="s">
        <v>546</v>
      </c>
      <c r="C61" s="10" t="s">
        <v>100</v>
      </c>
      <c r="D61" s="10" t="s">
        <v>56</v>
      </c>
      <c r="E61" s="10">
        <v>1.00426010547E11</v>
      </c>
      <c r="F61" s="10" t="s">
        <v>10</v>
      </c>
      <c r="G61" s="11" t="s">
        <v>61</v>
      </c>
      <c r="H61" s="10" t="s">
        <v>175</v>
      </c>
      <c r="I61" s="10">
        <v>5.0</v>
      </c>
      <c r="J61" s="10" t="s">
        <v>11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9" t="s">
        <v>547</v>
      </c>
      <c r="B62" s="9" t="s">
        <v>548</v>
      </c>
      <c r="C62" s="10" t="s">
        <v>435</v>
      </c>
      <c r="D62" s="10" t="s">
        <v>56</v>
      </c>
      <c r="E62" s="10">
        <v>1.00219010771E11</v>
      </c>
      <c r="F62" s="10" t="s">
        <v>10</v>
      </c>
      <c r="G62" s="11" t="s">
        <v>61</v>
      </c>
      <c r="H62" s="10" t="s">
        <v>175</v>
      </c>
      <c r="I62" s="10">
        <v>6.0</v>
      </c>
      <c r="J62" s="10" t="s">
        <v>11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9" t="s">
        <v>549</v>
      </c>
      <c r="B63" s="9" t="s">
        <v>550</v>
      </c>
      <c r="C63" s="10" t="s">
        <v>59</v>
      </c>
      <c r="D63" s="10" t="s">
        <v>56</v>
      </c>
      <c r="E63" s="10">
        <v>1.10310080315E11</v>
      </c>
      <c r="F63" s="10" t="s">
        <v>10</v>
      </c>
      <c r="G63" s="11" t="s">
        <v>61</v>
      </c>
      <c r="H63" s="10" t="s">
        <v>175</v>
      </c>
      <c r="I63" s="10">
        <v>7.0</v>
      </c>
      <c r="J63" s="10" t="s">
        <v>11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9" t="s">
        <v>551</v>
      </c>
      <c r="B64" s="9" t="s">
        <v>552</v>
      </c>
      <c r="C64" s="10" t="s">
        <v>27</v>
      </c>
      <c r="D64" s="10" t="s">
        <v>56</v>
      </c>
      <c r="E64" s="10">
        <v>1.10506010837E11</v>
      </c>
      <c r="F64" s="10" t="s">
        <v>10</v>
      </c>
      <c r="G64" s="11" t="s">
        <v>61</v>
      </c>
      <c r="H64" s="10" t="s">
        <v>175</v>
      </c>
      <c r="I64" s="10">
        <v>8.0</v>
      </c>
      <c r="J64" s="10" t="s">
        <v>11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9" t="s">
        <v>553</v>
      </c>
      <c r="B65" s="9" t="s">
        <v>554</v>
      </c>
      <c r="C65" s="10" t="s">
        <v>27</v>
      </c>
      <c r="D65" s="10" t="s">
        <v>56</v>
      </c>
      <c r="E65" s="10">
        <v>1.10114011929E11</v>
      </c>
      <c r="F65" s="10" t="s">
        <v>10</v>
      </c>
      <c r="G65" s="11" t="s">
        <v>61</v>
      </c>
      <c r="H65" s="10" t="s">
        <v>175</v>
      </c>
      <c r="I65" s="10">
        <v>9.0</v>
      </c>
      <c r="J65" s="10" t="s">
        <v>11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9" t="s">
        <v>555</v>
      </c>
      <c r="B66" s="9" t="s">
        <v>556</v>
      </c>
      <c r="C66" s="10" t="s">
        <v>27</v>
      </c>
      <c r="D66" s="10" t="s">
        <v>56</v>
      </c>
      <c r="E66" s="10">
        <v>1.21005010349E11</v>
      </c>
      <c r="F66" s="10" t="s">
        <v>10</v>
      </c>
      <c r="G66" s="11" t="s">
        <v>61</v>
      </c>
      <c r="H66" s="10" t="s">
        <v>175</v>
      </c>
      <c r="I66" s="10">
        <v>10.0</v>
      </c>
      <c r="J66" s="10" t="s">
        <v>11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9" t="s">
        <v>557</v>
      </c>
      <c r="B67" s="9" t="s">
        <v>558</v>
      </c>
      <c r="C67" s="10" t="s">
        <v>27</v>
      </c>
      <c r="D67" s="10" t="s">
        <v>56</v>
      </c>
      <c r="E67" s="10">
        <v>1.11210010621E11</v>
      </c>
      <c r="F67" s="10" t="s">
        <v>10</v>
      </c>
      <c r="G67" s="11" t="s">
        <v>61</v>
      </c>
      <c r="H67" s="10" t="s">
        <v>175</v>
      </c>
      <c r="I67" s="10">
        <v>11.0</v>
      </c>
      <c r="J67" s="10" t="s">
        <v>11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9" t="s">
        <v>559</v>
      </c>
      <c r="B68" s="9" t="s">
        <v>560</v>
      </c>
      <c r="C68" s="10" t="s">
        <v>125</v>
      </c>
      <c r="D68" s="10" t="s">
        <v>56</v>
      </c>
      <c r="E68" s="10">
        <v>1.21130011703E11</v>
      </c>
      <c r="F68" s="10" t="s">
        <v>10</v>
      </c>
      <c r="G68" s="11" t="s">
        <v>61</v>
      </c>
      <c r="H68" s="10" t="s">
        <v>175</v>
      </c>
      <c r="I68" s="10">
        <v>12.0</v>
      </c>
      <c r="J68" s="10" t="s">
        <v>11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9" t="s">
        <v>561</v>
      </c>
      <c r="B69" s="9" t="s">
        <v>562</v>
      </c>
      <c r="C69" s="10" t="s">
        <v>146</v>
      </c>
      <c r="D69" s="10" t="s">
        <v>56</v>
      </c>
      <c r="E69" s="10">
        <v>1.10815050381E11</v>
      </c>
      <c r="F69" s="10" t="s">
        <v>10</v>
      </c>
      <c r="G69" s="11" t="s">
        <v>61</v>
      </c>
      <c r="H69" s="10" t="s">
        <v>175</v>
      </c>
      <c r="I69" s="10">
        <v>13.0</v>
      </c>
      <c r="J69" s="10" t="s">
        <v>11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9" t="s">
        <v>563</v>
      </c>
      <c r="B70" s="9" t="s">
        <v>564</v>
      </c>
      <c r="C70" s="10" t="s">
        <v>203</v>
      </c>
      <c r="D70" s="10" t="s">
        <v>56</v>
      </c>
      <c r="E70" s="10">
        <v>1.10913010957E11</v>
      </c>
      <c r="F70" s="10" t="s">
        <v>10</v>
      </c>
      <c r="G70" s="11" t="s">
        <v>61</v>
      </c>
      <c r="H70" s="10" t="s">
        <v>175</v>
      </c>
      <c r="I70" s="10">
        <v>14.0</v>
      </c>
      <c r="J70" s="10" t="s">
        <v>11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9" t="s">
        <v>565</v>
      </c>
      <c r="B71" s="9" t="s">
        <v>566</v>
      </c>
      <c r="C71" s="10" t="s">
        <v>226</v>
      </c>
      <c r="D71" s="10" t="s">
        <v>56</v>
      </c>
      <c r="E71" s="10">
        <v>1.20529011663E11</v>
      </c>
      <c r="F71" s="10" t="s">
        <v>10</v>
      </c>
      <c r="G71" s="11" t="s">
        <v>61</v>
      </c>
      <c r="H71" s="10" t="s">
        <v>175</v>
      </c>
      <c r="I71" s="10">
        <v>15.0</v>
      </c>
      <c r="J71" s="10" t="s">
        <v>11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9" t="s">
        <v>567</v>
      </c>
      <c r="B72" s="9" t="s">
        <v>568</v>
      </c>
      <c r="C72" s="10" t="s">
        <v>238</v>
      </c>
      <c r="D72" s="10" t="s">
        <v>56</v>
      </c>
      <c r="E72" s="10">
        <v>1.00417011695E11</v>
      </c>
      <c r="F72" s="10" t="s">
        <v>10</v>
      </c>
      <c r="G72" s="11" t="s">
        <v>61</v>
      </c>
      <c r="H72" s="10" t="s">
        <v>175</v>
      </c>
      <c r="I72" s="10">
        <v>16.0</v>
      </c>
      <c r="J72" s="10" t="s">
        <v>11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9" t="s">
        <v>570</v>
      </c>
      <c r="B73" s="9" t="s">
        <v>572</v>
      </c>
      <c r="C73" s="10" t="s">
        <v>48</v>
      </c>
      <c r="D73" s="10" t="s">
        <v>56</v>
      </c>
      <c r="E73" s="10">
        <v>1.10324010967E11</v>
      </c>
      <c r="F73" s="10" t="s">
        <v>10</v>
      </c>
      <c r="G73" s="11" t="s">
        <v>61</v>
      </c>
      <c r="H73" s="10" t="s">
        <v>175</v>
      </c>
      <c r="I73" s="10">
        <v>17.0</v>
      </c>
      <c r="J73" s="10" t="s">
        <v>11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9" t="s">
        <v>578</v>
      </c>
      <c r="B74" s="9" t="s">
        <v>579</v>
      </c>
      <c r="C74" s="10" t="s">
        <v>48</v>
      </c>
      <c r="D74" s="10" t="s">
        <v>56</v>
      </c>
      <c r="E74" s="10">
        <v>1.00121010327E11</v>
      </c>
      <c r="F74" s="10" t="s">
        <v>10</v>
      </c>
      <c r="G74" s="11" t="s">
        <v>61</v>
      </c>
      <c r="H74" s="10" t="s">
        <v>175</v>
      </c>
      <c r="I74" s="10">
        <v>18.0</v>
      </c>
      <c r="J74" s="10" t="s">
        <v>11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9" t="s">
        <v>580</v>
      </c>
      <c r="B75" s="9" t="s">
        <v>581</v>
      </c>
      <c r="C75" s="10" t="s">
        <v>48</v>
      </c>
      <c r="D75" s="10" t="s">
        <v>56</v>
      </c>
      <c r="E75" s="10">
        <v>1.20731011245E11</v>
      </c>
      <c r="F75" s="10" t="s">
        <v>10</v>
      </c>
      <c r="G75" s="11" t="s">
        <v>61</v>
      </c>
      <c r="H75" s="10" t="s">
        <v>175</v>
      </c>
      <c r="I75" s="10">
        <v>19.0</v>
      </c>
      <c r="J75" s="10" t="s">
        <v>11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9" t="s">
        <v>582</v>
      </c>
      <c r="B76" s="9" t="s">
        <v>583</v>
      </c>
      <c r="C76" s="10" t="s">
        <v>48</v>
      </c>
      <c r="D76" s="10" t="s">
        <v>56</v>
      </c>
      <c r="E76" s="10">
        <v>1.10124010655E11</v>
      </c>
      <c r="F76" s="10" t="s">
        <v>10</v>
      </c>
      <c r="G76" s="11" t="s">
        <v>61</v>
      </c>
      <c r="H76" s="10" t="s">
        <v>175</v>
      </c>
      <c r="I76" s="10">
        <v>20.0</v>
      </c>
      <c r="J76" s="10" t="s">
        <v>11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9" t="s">
        <v>584</v>
      </c>
      <c r="B77" s="9" t="s">
        <v>585</v>
      </c>
      <c r="C77" s="10" t="s">
        <v>48</v>
      </c>
      <c r="D77" s="10" t="s">
        <v>56</v>
      </c>
      <c r="E77" s="10">
        <v>1.20915030213E11</v>
      </c>
      <c r="F77" s="10" t="s">
        <v>10</v>
      </c>
      <c r="G77" s="11" t="s">
        <v>61</v>
      </c>
      <c r="H77" s="10" t="s">
        <v>175</v>
      </c>
      <c r="I77" s="10">
        <v>21.0</v>
      </c>
      <c r="J77" s="10" t="s">
        <v>11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9" t="s">
        <v>586</v>
      </c>
      <c r="B78" s="9" t="s">
        <v>587</v>
      </c>
      <c r="C78" s="10" t="s">
        <v>55</v>
      </c>
      <c r="D78" s="10" t="s">
        <v>56</v>
      </c>
      <c r="E78" s="10">
        <v>1.10615010449E11</v>
      </c>
      <c r="F78" s="10" t="s">
        <v>10</v>
      </c>
      <c r="G78" s="11" t="s">
        <v>61</v>
      </c>
      <c r="H78" s="10" t="s">
        <v>175</v>
      </c>
      <c r="I78" s="10">
        <v>22.0</v>
      </c>
      <c r="J78" s="10" t="s">
        <v>38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9" t="s">
        <v>588</v>
      </c>
      <c r="B79" s="9" t="s">
        <v>589</v>
      </c>
      <c r="C79" s="10" t="s">
        <v>323</v>
      </c>
      <c r="D79" s="10" t="s">
        <v>56</v>
      </c>
      <c r="E79" s="10">
        <v>1.10102010283E11</v>
      </c>
      <c r="F79" s="10" t="s">
        <v>10</v>
      </c>
      <c r="G79" s="11" t="s">
        <v>61</v>
      </c>
      <c r="H79" s="10" t="s">
        <v>175</v>
      </c>
      <c r="I79" s="10">
        <v>23.0</v>
      </c>
      <c r="J79" s="10" t="s">
        <v>11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9" t="s">
        <v>590</v>
      </c>
      <c r="B80" s="9" t="s">
        <v>591</v>
      </c>
      <c r="C80" s="10" t="s">
        <v>21</v>
      </c>
      <c r="D80" s="10" t="s">
        <v>56</v>
      </c>
      <c r="E80" s="10">
        <v>1.20116010865E11</v>
      </c>
      <c r="F80" s="10" t="s">
        <v>10</v>
      </c>
      <c r="G80" s="11" t="s">
        <v>61</v>
      </c>
      <c r="H80" s="10" t="s">
        <v>175</v>
      </c>
      <c r="I80" s="10">
        <v>24.0</v>
      </c>
      <c r="J80" s="10" t="s">
        <v>38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9" t="s">
        <v>592</v>
      </c>
      <c r="B81" s="9" t="s">
        <v>593</v>
      </c>
      <c r="C81" s="10" t="s">
        <v>349</v>
      </c>
      <c r="D81" s="10" t="s">
        <v>56</v>
      </c>
      <c r="E81" s="10">
        <v>1.21023010289E11</v>
      </c>
      <c r="F81" s="10" t="s">
        <v>10</v>
      </c>
      <c r="G81" s="11" t="s">
        <v>61</v>
      </c>
      <c r="H81" s="10" t="s">
        <v>175</v>
      </c>
      <c r="I81" s="10">
        <v>25.0</v>
      </c>
      <c r="J81" s="10" t="s">
        <v>11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9" t="s">
        <v>594</v>
      </c>
      <c r="B82" s="9" t="s">
        <v>595</v>
      </c>
      <c r="C82" s="10" t="s">
        <v>16</v>
      </c>
      <c r="D82" s="10" t="s">
        <v>56</v>
      </c>
      <c r="E82" s="10">
        <v>1.10607011257E11</v>
      </c>
      <c r="F82" s="10" t="s">
        <v>10</v>
      </c>
      <c r="G82" s="11" t="s">
        <v>61</v>
      </c>
      <c r="H82" s="10" t="s">
        <v>175</v>
      </c>
      <c r="I82" s="10">
        <v>26.0</v>
      </c>
      <c r="J82" s="10" t="s">
        <v>11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9" t="s">
        <v>596</v>
      </c>
      <c r="B83" s="9" t="s">
        <v>597</v>
      </c>
      <c r="C83" s="10" t="s">
        <v>16</v>
      </c>
      <c r="D83" s="10" t="s">
        <v>56</v>
      </c>
      <c r="E83" s="10">
        <v>1.20404011117E11</v>
      </c>
      <c r="F83" s="10" t="s">
        <v>10</v>
      </c>
      <c r="G83" s="11" t="s">
        <v>61</v>
      </c>
      <c r="H83" s="10" t="s">
        <v>175</v>
      </c>
      <c r="I83" s="10">
        <v>27.0</v>
      </c>
      <c r="J83" s="10" t="s">
        <v>11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9" t="s">
        <v>598</v>
      </c>
      <c r="B84" s="9" t="s">
        <v>599</v>
      </c>
      <c r="C84" s="10" t="s">
        <v>140</v>
      </c>
      <c r="D84" s="10" t="s">
        <v>56</v>
      </c>
      <c r="E84" s="10">
        <v>1.00701011318E11</v>
      </c>
      <c r="F84" s="10" t="s">
        <v>18</v>
      </c>
      <c r="G84" s="11" t="s">
        <v>61</v>
      </c>
      <c r="H84" s="10" t="s">
        <v>43</v>
      </c>
      <c r="I84" s="10">
        <v>1.0</v>
      </c>
      <c r="J84" s="10" t="s">
        <v>11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9" t="s">
        <v>600</v>
      </c>
      <c r="B85" s="9" t="s">
        <v>601</v>
      </c>
      <c r="C85" s="10" t="s">
        <v>140</v>
      </c>
      <c r="D85" s="10" t="s">
        <v>56</v>
      </c>
      <c r="E85" s="10">
        <v>1.00204011464E11</v>
      </c>
      <c r="F85" s="10" t="s">
        <v>18</v>
      </c>
      <c r="G85" s="11" t="s">
        <v>61</v>
      </c>
      <c r="H85" s="10" t="s">
        <v>43</v>
      </c>
      <c r="I85" s="10">
        <v>2.0</v>
      </c>
      <c r="J85" s="10" t="s">
        <v>11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9" t="s">
        <v>602</v>
      </c>
      <c r="B86" s="9" t="s">
        <v>603</v>
      </c>
      <c r="C86" s="10" t="s">
        <v>72</v>
      </c>
      <c r="D86" s="10" t="s">
        <v>56</v>
      </c>
      <c r="E86" s="10">
        <v>1.10217010128E11</v>
      </c>
      <c r="F86" s="10" t="s">
        <v>18</v>
      </c>
      <c r="G86" s="11" t="s">
        <v>61</v>
      </c>
      <c r="H86" s="10" t="s">
        <v>43</v>
      </c>
      <c r="I86" s="10">
        <v>3.0</v>
      </c>
      <c r="J86" s="10" t="s">
        <v>11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9" t="s">
        <v>604</v>
      </c>
      <c r="B87" s="9" t="s">
        <v>605</v>
      </c>
      <c r="C87" s="10" t="s">
        <v>397</v>
      </c>
      <c r="D87" s="10" t="s">
        <v>56</v>
      </c>
      <c r="E87" s="10">
        <v>1.1103101081E11</v>
      </c>
      <c r="F87" s="10" t="s">
        <v>18</v>
      </c>
      <c r="G87" s="11" t="s">
        <v>61</v>
      </c>
      <c r="H87" s="10" t="s">
        <v>43</v>
      </c>
      <c r="I87" s="10">
        <v>4.0</v>
      </c>
      <c r="J87" s="10" t="s">
        <v>11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9" t="s">
        <v>606</v>
      </c>
      <c r="B88" s="9" t="s">
        <v>607</v>
      </c>
      <c r="C88" s="10" t="s">
        <v>59</v>
      </c>
      <c r="D88" s="10" t="s">
        <v>56</v>
      </c>
      <c r="E88" s="10">
        <v>1.1021101053E11</v>
      </c>
      <c r="F88" s="10" t="s">
        <v>18</v>
      </c>
      <c r="G88" s="11" t="s">
        <v>61</v>
      </c>
      <c r="H88" s="10" t="s">
        <v>43</v>
      </c>
      <c r="I88" s="10">
        <v>5.0</v>
      </c>
      <c r="J88" s="10" t="s">
        <v>11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9" t="s">
        <v>608</v>
      </c>
      <c r="B89" s="9" t="s">
        <v>609</v>
      </c>
      <c r="C89" s="10" t="s">
        <v>254</v>
      </c>
      <c r="D89" s="10" t="s">
        <v>56</v>
      </c>
      <c r="E89" s="10">
        <v>1.20401010346E11</v>
      </c>
      <c r="F89" s="10" t="s">
        <v>18</v>
      </c>
      <c r="G89" s="11" t="s">
        <v>61</v>
      </c>
      <c r="H89" s="10" t="s">
        <v>43</v>
      </c>
      <c r="I89" s="10">
        <v>6.0</v>
      </c>
      <c r="J89" s="10" t="s">
        <v>38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9" t="s">
        <v>610</v>
      </c>
      <c r="B90" s="9" t="s">
        <v>611</v>
      </c>
      <c r="C90" s="10" t="s">
        <v>254</v>
      </c>
      <c r="D90" s="10" t="s">
        <v>56</v>
      </c>
      <c r="E90" s="10">
        <v>1.1042901164E11</v>
      </c>
      <c r="F90" s="10" t="s">
        <v>18</v>
      </c>
      <c r="G90" s="11" t="s">
        <v>61</v>
      </c>
      <c r="H90" s="10" t="s">
        <v>43</v>
      </c>
      <c r="I90" s="10">
        <v>7.0</v>
      </c>
      <c r="J90" s="10" t="s">
        <v>38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9" t="s">
        <v>612</v>
      </c>
      <c r="B91" s="9" t="s">
        <v>613</v>
      </c>
      <c r="C91" s="10" t="s">
        <v>27</v>
      </c>
      <c r="D91" s="10" t="s">
        <v>56</v>
      </c>
      <c r="E91" s="10">
        <v>1.10228010908E11</v>
      </c>
      <c r="F91" s="10" t="s">
        <v>18</v>
      </c>
      <c r="G91" s="11" t="s">
        <v>61</v>
      </c>
      <c r="H91" s="10" t="s">
        <v>43</v>
      </c>
      <c r="I91" s="10">
        <v>8.0</v>
      </c>
      <c r="J91" s="10" t="s">
        <v>11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9" t="s">
        <v>614</v>
      </c>
      <c r="B92" s="9" t="s">
        <v>615</v>
      </c>
      <c r="C92" s="10" t="s">
        <v>146</v>
      </c>
      <c r="D92" s="10" t="s">
        <v>56</v>
      </c>
      <c r="E92" s="10">
        <v>1.2082704012E11</v>
      </c>
      <c r="F92" s="10" t="s">
        <v>18</v>
      </c>
      <c r="G92" s="11" t="s">
        <v>61</v>
      </c>
      <c r="H92" s="10" t="s">
        <v>43</v>
      </c>
      <c r="I92" s="10">
        <v>9.0</v>
      </c>
      <c r="J92" s="10" t="s">
        <v>11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9" t="s">
        <v>616</v>
      </c>
      <c r="B93" s="9" t="s">
        <v>617</v>
      </c>
      <c r="C93" s="10" t="s">
        <v>146</v>
      </c>
      <c r="D93" s="10" t="s">
        <v>56</v>
      </c>
      <c r="E93" s="10">
        <v>1.21221011266E11</v>
      </c>
      <c r="F93" s="10" t="s">
        <v>18</v>
      </c>
      <c r="G93" s="11" t="s">
        <v>61</v>
      </c>
      <c r="H93" s="10" t="s">
        <v>43</v>
      </c>
      <c r="I93" s="10">
        <v>10.0</v>
      </c>
      <c r="J93" s="10" t="s">
        <v>11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9" t="s">
        <v>618</v>
      </c>
      <c r="B94" s="9" t="s">
        <v>619</v>
      </c>
      <c r="C94" s="10" t="s">
        <v>146</v>
      </c>
      <c r="D94" s="10" t="s">
        <v>56</v>
      </c>
      <c r="E94" s="10">
        <v>1.20113010464E11</v>
      </c>
      <c r="F94" s="10" t="s">
        <v>18</v>
      </c>
      <c r="G94" s="11" t="s">
        <v>61</v>
      </c>
      <c r="H94" s="10" t="s">
        <v>43</v>
      </c>
      <c r="I94" s="10">
        <v>11.0</v>
      </c>
      <c r="J94" s="10" t="s">
        <v>11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9" t="s">
        <v>620</v>
      </c>
      <c r="B95" s="9" t="s">
        <v>621</v>
      </c>
      <c r="C95" s="10" t="s">
        <v>146</v>
      </c>
      <c r="D95" s="10" t="s">
        <v>56</v>
      </c>
      <c r="E95" s="10">
        <v>1.21114010313E11</v>
      </c>
      <c r="F95" s="10" t="s">
        <v>18</v>
      </c>
      <c r="G95" s="11" t="s">
        <v>61</v>
      </c>
      <c r="H95" s="10" t="s">
        <v>43</v>
      </c>
      <c r="I95" s="10">
        <v>12.0</v>
      </c>
      <c r="J95" s="10" t="s">
        <v>11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9" t="s">
        <v>622</v>
      </c>
      <c r="B96" s="9" t="s">
        <v>623</v>
      </c>
      <c r="C96" s="10" t="s">
        <v>166</v>
      </c>
      <c r="D96" s="10" t="s">
        <v>56</v>
      </c>
      <c r="E96" s="10">
        <v>1.11022010018E11</v>
      </c>
      <c r="F96" s="10" t="s">
        <v>18</v>
      </c>
      <c r="G96" s="11" t="s">
        <v>61</v>
      </c>
      <c r="H96" s="10" t="s">
        <v>43</v>
      </c>
      <c r="I96" s="10">
        <v>13.0</v>
      </c>
      <c r="J96" s="10" t="s">
        <v>11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9" t="s">
        <v>624</v>
      </c>
      <c r="B97" s="9" t="s">
        <v>625</v>
      </c>
      <c r="C97" s="10" t="s">
        <v>226</v>
      </c>
      <c r="D97" s="10" t="s">
        <v>56</v>
      </c>
      <c r="E97" s="10">
        <v>1.10826010668E11</v>
      </c>
      <c r="F97" s="10" t="s">
        <v>18</v>
      </c>
      <c r="G97" s="11" t="s">
        <v>61</v>
      </c>
      <c r="H97" s="10" t="s">
        <v>43</v>
      </c>
      <c r="I97" s="10">
        <v>14.0</v>
      </c>
      <c r="J97" s="10" t="s">
        <v>11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9" t="s">
        <v>626</v>
      </c>
      <c r="B98" s="9" t="s">
        <v>627</v>
      </c>
      <c r="C98" s="10" t="s">
        <v>55</v>
      </c>
      <c r="D98" s="10" t="s">
        <v>56</v>
      </c>
      <c r="E98" s="10">
        <v>1.20220010144E11</v>
      </c>
      <c r="F98" s="10" t="s">
        <v>18</v>
      </c>
      <c r="G98" s="11" t="s">
        <v>61</v>
      </c>
      <c r="H98" s="10" t="s">
        <v>43</v>
      </c>
      <c r="I98" s="10">
        <v>15.0</v>
      </c>
      <c r="J98" s="10" t="s">
        <v>38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9" t="s">
        <v>628</v>
      </c>
      <c r="B99" s="9" t="s">
        <v>629</v>
      </c>
      <c r="C99" s="10" t="s">
        <v>55</v>
      </c>
      <c r="D99" s="10" t="s">
        <v>56</v>
      </c>
      <c r="E99" s="10">
        <v>1.21225010404E11</v>
      </c>
      <c r="F99" s="10" t="s">
        <v>18</v>
      </c>
      <c r="G99" s="11" t="s">
        <v>61</v>
      </c>
      <c r="H99" s="10" t="s">
        <v>43</v>
      </c>
      <c r="I99" s="10">
        <v>16.0</v>
      </c>
      <c r="J99" s="10" t="s">
        <v>11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9" t="s">
        <v>630</v>
      </c>
      <c r="B100" s="9" t="s">
        <v>631</v>
      </c>
      <c r="C100" s="10" t="s">
        <v>309</v>
      </c>
      <c r="D100" s="10" t="s">
        <v>56</v>
      </c>
      <c r="E100" s="10">
        <v>1.10924010944E11</v>
      </c>
      <c r="F100" s="10" t="s">
        <v>18</v>
      </c>
      <c r="G100" s="11" t="s">
        <v>61</v>
      </c>
      <c r="H100" s="10" t="s">
        <v>43</v>
      </c>
      <c r="I100" s="10">
        <v>17.0</v>
      </c>
      <c r="J100" s="10" t="s">
        <v>11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9" t="s">
        <v>633</v>
      </c>
      <c r="B101" s="9" t="s">
        <v>634</v>
      </c>
      <c r="C101" s="10" t="s">
        <v>323</v>
      </c>
      <c r="D101" s="10" t="s">
        <v>56</v>
      </c>
      <c r="E101" s="10">
        <v>1.2061103015E11</v>
      </c>
      <c r="F101" s="10" t="s">
        <v>18</v>
      </c>
      <c r="G101" s="11" t="s">
        <v>61</v>
      </c>
      <c r="H101" s="10" t="s">
        <v>43</v>
      </c>
      <c r="I101" s="10">
        <v>18.0</v>
      </c>
      <c r="J101" s="10" t="s">
        <v>11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9" t="s">
        <v>635</v>
      </c>
      <c r="B102" s="9" t="s">
        <v>636</v>
      </c>
      <c r="C102" s="10" t="s">
        <v>336</v>
      </c>
      <c r="D102" s="10" t="s">
        <v>56</v>
      </c>
      <c r="E102" s="10">
        <v>1.20718010256E11</v>
      </c>
      <c r="F102" s="10" t="s">
        <v>18</v>
      </c>
      <c r="G102" s="11" t="s">
        <v>61</v>
      </c>
      <c r="H102" s="10" t="s">
        <v>43</v>
      </c>
      <c r="I102" s="10">
        <v>19.0</v>
      </c>
      <c r="J102" s="10" t="s">
        <v>11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9" t="s">
        <v>637</v>
      </c>
      <c r="B103" s="9" t="s">
        <v>638</v>
      </c>
      <c r="C103" s="10" t="s">
        <v>349</v>
      </c>
      <c r="D103" s="10" t="s">
        <v>56</v>
      </c>
      <c r="E103" s="10">
        <v>1.01213011612E11</v>
      </c>
      <c r="F103" s="10" t="s">
        <v>18</v>
      </c>
      <c r="G103" s="11" t="s">
        <v>61</v>
      </c>
      <c r="H103" s="10" t="s">
        <v>43</v>
      </c>
      <c r="I103" s="10">
        <v>20.0</v>
      </c>
      <c r="J103" s="10" t="s">
        <v>11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9" t="s">
        <v>639</v>
      </c>
      <c r="B104" s="9" t="s">
        <v>640</v>
      </c>
      <c r="C104" s="10" t="s">
        <v>16</v>
      </c>
      <c r="D104" s="10" t="s">
        <v>56</v>
      </c>
      <c r="E104" s="10">
        <v>1.102120115E11</v>
      </c>
      <c r="F104" s="10" t="s">
        <v>18</v>
      </c>
      <c r="G104" s="11" t="s">
        <v>61</v>
      </c>
      <c r="H104" s="10" t="s">
        <v>43</v>
      </c>
      <c r="I104" s="10">
        <v>21.0</v>
      </c>
      <c r="J104" s="10" t="s">
        <v>11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9" t="s">
        <v>641</v>
      </c>
      <c r="B105" s="9" t="s">
        <v>642</v>
      </c>
      <c r="C105" s="10" t="s">
        <v>140</v>
      </c>
      <c r="D105" s="10" t="s">
        <v>56</v>
      </c>
      <c r="E105" s="10">
        <v>1.00321010882E11</v>
      </c>
      <c r="F105" s="10" t="s">
        <v>18</v>
      </c>
      <c r="G105" s="11" t="s">
        <v>61</v>
      </c>
      <c r="H105" s="10" t="s">
        <v>143</v>
      </c>
      <c r="I105" s="10">
        <v>1.0</v>
      </c>
      <c r="J105" s="10" t="s">
        <v>11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9" t="s">
        <v>643</v>
      </c>
      <c r="B106" s="9" t="s">
        <v>644</v>
      </c>
      <c r="C106" s="10" t="s">
        <v>50</v>
      </c>
      <c r="D106" s="10" t="s">
        <v>56</v>
      </c>
      <c r="E106" s="10">
        <v>1.10508010348E11</v>
      </c>
      <c r="F106" s="10" t="s">
        <v>18</v>
      </c>
      <c r="G106" s="11" t="s">
        <v>61</v>
      </c>
      <c r="H106" s="10" t="s">
        <v>143</v>
      </c>
      <c r="I106" s="10">
        <v>2.0</v>
      </c>
      <c r="J106" s="10" t="s">
        <v>11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9" t="s">
        <v>645</v>
      </c>
      <c r="B107" s="9" t="s">
        <v>647</v>
      </c>
      <c r="C107" s="10" t="s">
        <v>72</v>
      </c>
      <c r="D107" s="10" t="s">
        <v>56</v>
      </c>
      <c r="E107" s="10">
        <v>1.10226010656E11</v>
      </c>
      <c r="F107" s="10" t="s">
        <v>18</v>
      </c>
      <c r="G107" s="11" t="s">
        <v>61</v>
      </c>
      <c r="H107" s="10" t="s">
        <v>143</v>
      </c>
      <c r="I107" s="10">
        <v>3.0</v>
      </c>
      <c r="J107" s="10" t="s">
        <v>11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9" t="s">
        <v>648</v>
      </c>
      <c r="B108" s="9" t="s">
        <v>649</v>
      </c>
      <c r="C108" s="10" t="s">
        <v>435</v>
      </c>
      <c r="D108" s="10" t="s">
        <v>56</v>
      </c>
      <c r="E108" s="10">
        <v>1.10813010044E11</v>
      </c>
      <c r="F108" s="10" t="s">
        <v>18</v>
      </c>
      <c r="G108" s="11" t="s">
        <v>61</v>
      </c>
      <c r="H108" s="10" t="s">
        <v>143</v>
      </c>
      <c r="I108" s="10">
        <v>4.0</v>
      </c>
      <c r="J108" s="10" t="s">
        <v>11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9" t="s">
        <v>652</v>
      </c>
      <c r="B109" s="9" t="s">
        <v>653</v>
      </c>
      <c r="C109" s="10" t="s">
        <v>254</v>
      </c>
      <c r="D109" s="10" t="s">
        <v>56</v>
      </c>
      <c r="E109" s="10">
        <v>1.10903040044E11</v>
      </c>
      <c r="F109" s="10" t="s">
        <v>18</v>
      </c>
      <c r="G109" s="11" t="s">
        <v>61</v>
      </c>
      <c r="H109" s="10" t="s">
        <v>143</v>
      </c>
      <c r="I109" s="10">
        <v>5.0</v>
      </c>
      <c r="J109" s="10" t="s">
        <v>38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9" t="s">
        <v>654</v>
      </c>
      <c r="B110" s="9" t="s">
        <v>655</v>
      </c>
      <c r="C110" s="10" t="s">
        <v>254</v>
      </c>
      <c r="D110" s="10" t="s">
        <v>56</v>
      </c>
      <c r="E110" s="10">
        <v>1.20216011216E11</v>
      </c>
      <c r="F110" s="10" t="s">
        <v>18</v>
      </c>
      <c r="G110" s="11" t="s">
        <v>61</v>
      </c>
      <c r="H110" s="10" t="s">
        <v>143</v>
      </c>
      <c r="I110" s="10">
        <v>6.0</v>
      </c>
      <c r="J110" s="10" t="s">
        <v>38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9" t="s">
        <v>657</v>
      </c>
      <c r="B111" s="9" t="s">
        <v>658</v>
      </c>
      <c r="C111" s="10" t="s">
        <v>132</v>
      </c>
      <c r="D111" s="10" t="s">
        <v>56</v>
      </c>
      <c r="E111" s="10">
        <v>1.0052410188E11</v>
      </c>
      <c r="F111" s="10" t="s">
        <v>18</v>
      </c>
      <c r="G111" s="11" t="s">
        <v>61</v>
      </c>
      <c r="H111" s="10" t="s">
        <v>143</v>
      </c>
      <c r="I111" s="10">
        <v>7.0</v>
      </c>
      <c r="J111" s="10" t="s">
        <v>11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9" t="s">
        <v>661</v>
      </c>
      <c r="B112" s="9" t="s">
        <v>662</v>
      </c>
      <c r="C112" s="10" t="s">
        <v>125</v>
      </c>
      <c r="D112" s="10" t="s">
        <v>56</v>
      </c>
      <c r="E112" s="10">
        <v>1.10529020034E11</v>
      </c>
      <c r="F112" s="10" t="s">
        <v>18</v>
      </c>
      <c r="G112" s="11" t="s">
        <v>61</v>
      </c>
      <c r="H112" s="10" t="s">
        <v>143</v>
      </c>
      <c r="I112" s="10">
        <v>8.0</v>
      </c>
      <c r="J112" s="10" t="s">
        <v>38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9" t="s">
        <v>664</v>
      </c>
      <c r="B113" s="9" t="s">
        <v>665</v>
      </c>
      <c r="C113" s="10" t="s">
        <v>146</v>
      </c>
      <c r="D113" s="10" t="s">
        <v>56</v>
      </c>
      <c r="E113" s="10">
        <v>1.20915011012E11</v>
      </c>
      <c r="F113" s="10" t="s">
        <v>18</v>
      </c>
      <c r="G113" s="11" t="s">
        <v>61</v>
      </c>
      <c r="H113" s="10" t="s">
        <v>143</v>
      </c>
      <c r="I113" s="10">
        <v>9.0</v>
      </c>
      <c r="J113" s="10" t="s">
        <v>11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9" t="s">
        <v>668</v>
      </c>
      <c r="B114" s="9" t="s">
        <v>669</v>
      </c>
      <c r="C114" s="10" t="s">
        <v>146</v>
      </c>
      <c r="D114" s="10" t="s">
        <v>56</v>
      </c>
      <c r="E114" s="10">
        <v>1.10114010942E11</v>
      </c>
      <c r="F114" s="10" t="s">
        <v>18</v>
      </c>
      <c r="G114" s="11" t="s">
        <v>61</v>
      </c>
      <c r="H114" s="10" t="s">
        <v>143</v>
      </c>
      <c r="I114" s="10">
        <v>10.0</v>
      </c>
      <c r="J114" s="10" t="s">
        <v>11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9" t="s">
        <v>670</v>
      </c>
      <c r="B115" s="9" t="s">
        <v>671</v>
      </c>
      <c r="C115" s="10" t="s">
        <v>146</v>
      </c>
      <c r="D115" s="10" t="s">
        <v>56</v>
      </c>
      <c r="E115" s="10">
        <v>1.21014011466E11</v>
      </c>
      <c r="F115" s="10" t="s">
        <v>18</v>
      </c>
      <c r="G115" s="11" t="s">
        <v>61</v>
      </c>
      <c r="H115" s="10" t="s">
        <v>143</v>
      </c>
      <c r="I115" s="10">
        <v>11.0</v>
      </c>
      <c r="J115" s="10" t="s">
        <v>11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9" t="s">
        <v>672</v>
      </c>
      <c r="B116" s="9" t="s">
        <v>673</v>
      </c>
      <c r="C116" s="10" t="s">
        <v>203</v>
      </c>
      <c r="D116" s="10" t="s">
        <v>56</v>
      </c>
      <c r="E116" s="10">
        <v>1.10727010478E11</v>
      </c>
      <c r="F116" s="10" t="s">
        <v>18</v>
      </c>
      <c r="G116" s="11" t="s">
        <v>61</v>
      </c>
      <c r="H116" s="10" t="s">
        <v>143</v>
      </c>
      <c r="I116" s="10">
        <v>12.0</v>
      </c>
      <c r="J116" s="10" t="s">
        <v>11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9" t="s">
        <v>674</v>
      </c>
      <c r="B117" s="9" t="s">
        <v>675</v>
      </c>
      <c r="C117" s="10" t="s">
        <v>226</v>
      </c>
      <c r="D117" s="10" t="s">
        <v>56</v>
      </c>
      <c r="E117" s="10">
        <v>1.1081908159E11</v>
      </c>
      <c r="F117" s="10" t="s">
        <v>18</v>
      </c>
      <c r="G117" s="11" t="s">
        <v>61</v>
      </c>
      <c r="H117" s="10" t="s">
        <v>143</v>
      </c>
      <c r="I117" s="10">
        <v>13.0</v>
      </c>
      <c r="J117" s="10" t="s">
        <v>11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9" t="s">
        <v>676</v>
      </c>
      <c r="B118" s="9" t="s">
        <v>677</v>
      </c>
      <c r="C118" s="10" t="s">
        <v>238</v>
      </c>
      <c r="D118" s="10" t="s">
        <v>56</v>
      </c>
      <c r="E118" s="10">
        <v>1.00518010704E11</v>
      </c>
      <c r="F118" s="10" t="s">
        <v>18</v>
      </c>
      <c r="G118" s="11" t="s">
        <v>61</v>
      </c>
      <c r="H118" s="10" t="s">
        <v>143</v>
      </c>
      <c r="I118" s="10">
        <v>14.0</v>
      </c>
      <c r="J118" s="10" t="s">
        <v>11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9" t="s">
        <v>678</v>
      </c>
      <c r="B119" s="9" t="s">
        <v>679</v>
      </c>
      <c r="C119" s="10" t="s">
        <v>55</v>
      </c>
      <c r="D119" s="10" t="s">
        <v>56</v>
      </c>
      <c r="E119" s="10">
        <v>1.21119121602E11</v>
      </c>
      <c r="F119" s="10" t="s">
        <v>18</v>
      </c>
      <c r="G119" s="11" t="s">
        <v>61</v>
      </c>
      <c r="H119" s="10" t="s">
        <v>143</v>
      </c>
      <c r="I119" s="10">
        <v>15.0</v>
      </c>
      <c r="J119" s="10" t="s">
        <v>11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9" t="s">
        <v>680</v>
      </c>
      <c r="B120" s="9" t="s">
        <v>681</v>
      </c>
      <c r="C120" s="10" t="s">
        <v>55</v>
      </c>
      <c r="D120" s="10" t="s">
        <v>56</v>
      </c>
      <c r="E120" s="10">
        <v>1.20426011708E11</v>
      </c>
      <c r="F120" s="10" t="s">
        <v>18</v>
      </c>
      <c r="G120" s="11" t="s">
        <v>61</v>
      </c>
      <c r="H120" s="10" t="s">
        <v>143</v>
      </c>
      <c r="I120" s="10">
        <v>16.0</v>
      </c>
      <c r="J120" s="10" t="s">
        <v>11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9" t="s">
        <v>682</v>
      </c>
      <c r="B121" s="9" t="s">
        <v>683</v>
      </c>
      <c r="C121" s="10" t="s">
        <v>309</v>
      </c>
      <c r="D121" s="10" t="s">
        <v>56</v>
      </c>
      <c r="E121" s="10">
        <v>1.1030101004E11</v>
      </c>
      <c r="F121" s="10" t="s">
        <v>18</v>
      </c>
      <c r="G121" s="11" t="s">
        <v>61</v>
      </c>
      <c r="H121" s="10" t="s">
        <v>143</v>
      </c>
      <c r="I121" s="10">
        <v>17.0</v>
      </c>
      <c r="J121" s="10" t="s">
        <v>38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9" t="s">
        <v>684</v>
      </c>
      <c r="B122" s="9" t="s">
        <v>685</v>
      </c>
      <c r="C122" s="10" t="s">
        <v>21</v>
      </c>
      <c r="D122" s="10" t="s">
        <v>56</v>
      </c>
      <c r="E122" s="10">
        <v>1.20301011472E11</v>
      </c>
      <c r="F122" s="10" t="s">
        <v>18</v>
      </c>
      <c r="G122" s="11" t="s">
        <v>61</v>
      </c>
      <c r="H122" s="9" t="s">
        <v>143</v>
      </c>
      <c r="I122" s="9">
        <v>18.0</v>
      </c>
      <c r="J122" s="10" t="s">
        <v>11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9" t="s">
        <v>686</v>
      </c>
      <c r="B123" s="9" t="s">
        <v>687</v>
      </c>
      <c r="C123" s="10" t="s">
        <v>336</v>
      </c>
      <c r="D123" s="10" t="s">
        <v>56</v>
      </c>
      <c r="E123" s="10">
        <v>1.1031001064E11</v>
      </c>
      <c r="F123" s="10" t="s">
        <v>18</v>
      </c>
      <c r="G123" s="11" t="s">
        <v>61</v>
      </c>
      <c r="H123" s="10" t="s">
        <v>143</v>
      </c>
      <c r="I123" s="10">
        <v>19.0</v>
      </c>
      <c r="J123" s="10" t="s">
        <v>11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9" t="s">
        <v>688</v>
      </c>
      <c r="B124" s="9" t="s">
        <v>689</v>
      </c>
      <c r="C124" s="10" t="s">
        <v>16</v>
      </c>
      <c r="D124" s="10" t="s">
        <v>56</v>
      </c>
      <c r="E124" s="10">
        <v>1.10501130784E11</v>
      </c>
      <c r="F124" s="10" t="s">
        <v>18</v>
      </c>
      <c r="G124" s="11" t="s">
        <v>61</v>
      </c>
      <c r="H124" s="10" t="s">
        <v>143</v>
      </c>
      <c r="I124" s="10">
        <v>20.0</v>
      </c>
      <c r="J124" s="10" t="s">
        <v>11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9" t="s">
        <v>690</v>
      </c>
      <c r="B125" s="9" t="s">
        <v>691</v>
      </c>
      <c r="C125" s="10" t="s">
        <v>16</v>
      </c>
      <c r="D125" s="10" t="s">
        <v>56</v>
      </c>
      <c r="E125" s="10">
        <v>1.10121010908E11</v>
      </c>
      <c r="F125" s="10" t="s">
        <v>18</v>
      </c>
      <c r="G125" s="11" t="s">
        <v>61</v>
      </c>
      <c r="H125" s="10" t="s">
        <v>143</v>
      </c>
      <c r="I125" s="10">
        <v>21.0</v>
      </c>
      <c r="J125" s="10" t="s">
        <v>11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9" t="s">
        <v>692</v>
      </c>
      <c r="B126" s="9" t="s">
        <v>693</v>
      </c>
      <c r="C126" s="10" t="s">
        <v>140</v>
      </c>
      <c r="D126" s="10" t="s">
        <v>56</v>
      </c>
      <c r="E126" s="10">
        <v>1.0032740222E10</v>
      </c>
      <c r="F126" s="10" t="s">
        <v>18</v>
      </c>
      <c r="G126" s="11" t="s">
        <v>61</v>
      </c>
      <c r="H126" s="10" t="s">
        <v>175</v>
      </c>
      <c r="I126" s="10">
        <v>1.0</v>
      </c>
      <c r="J126" s="10" t="s">
        <v>11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9" t="s">
        <v>694</v>
      </c>
      <c r="B127" s="9" t="s">
        <v>695</v>
      </c>
      <c r="C127" s="10" t="s">
        <v>50</v>
      </c>
      <c r="D127" s="10" t="s">
        <v>56</v>
      </c>
      <c r="E127" s="10">
        <v>1.0121401104E11</v>
      </c>
      <c r="F127" s="10" t="s">
        <v>18</v>
      </c>
      <c r="G127" s="11" t="s">
        <v>61</v>
      </c>
      <c r="H127" s="10" t="s">
        <v>175</v>
      </c>
      <c r="I127" s="10">
        <v>2.0</v>
      </c>
      <c r="J127" s="10" t="s">
        <v>11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9" t="s">
        <v>696</v>
      </c>
      <c r="B128" s="9" t="s">
        <v>697</v>
      </c>
      <c r="C128" s="10" t="s">
        <v>397</v>
      </c>
      <c r="D128" s="10" t="s">
        <v>56</v>
      </c>
      <c r="E128" s="10">
        <v>1.2070201004E11</v>
      </c>
      <c r="F128" s="10" t="s">
        <v>18</v>
      </c>
      <c r="G128" s="11" t="s">
        <v>61</v>
      </c>
      <c r="H128" s="10" t="s">
        <v>175</v>
      </c>
      <c r="I128" s="10">
        <v>3.0</v>
      </c>
      <c r="J128" s="10" t="s">
        <v>11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9" t="s">
        <v>698</v>
      </c>
      <c r="B129" s="9" t="s">
        <v>699</v>
      </c>
      <c r="C129" s="10" t="s">
        <v>435</v>
      </c>
      <c r="D129" s="10" t="s">
        <v>56</v>
      </c>
      <c r="E129" s="10">
        <v>1.11030030844E11</v>
      </c>
      <c r="F129" s="10" t="s">
        <v>18</v>
      </c>
      <c r="G129" s="11" t="s">
        <v>61</v>
      </c>
      <c r="H129" s="10" t="s">
        <v>175</v>
      </c>
      <c r="I129" s="10">
        <v>4.0</v>
      </c>
      <c r="J129" s="10" t="s">
        <v>11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9" t="s">
        <v>700</v>
      </c>
      <c r="B130" s="9" t="s">
        <v>655</v>
      </c>
      <c r="C130" s="10" t="s">
        <v>254</v>
      </c>
      <c r="D130" s="10" t="s">
        <v>56</v>
      </c>
      <c r="E130" s="10">
        <v>1.20216011216E11</v>
      </c>
      <c r="F130" s="10" t="s">
        <v>18</v>
      </c>
      <c r="G130" s="11" t="s">
        <v>61</v>
      </c>
      <c r="H130" s="10" t="s">
        <v>175</v>
      </c>
      <c r="I130" s="10">
        <v>5.0</v>
      </c>
      <c r="J130" s="10" t="s">
        <v>38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9" t="s">
        <v>701</v>
      </c>
      <c r="B131" s="9" t="s">
        <v>702</v>
      </c>
      <c r="C131" s="10" t="s">
        <v>254</v>
      </c>
      <c r="D131" s="10" t="s">
        <v>56</v>
      </c>
      <c r="E131" s="10">
        <v>1.10616011662E11</v>
      </c>
      <c r="F131" s="10" t="s">
        <v>18</v>
      </c>
      <c r="G131" s="11" t="s">
        <v>61</v>
      </c>
      <c r="H131" s="10" t="s">
        <v>175</v>
      </c>
      <c r="I131" s="10">
        <v>6.0</v>
      </c>
      <c r="J131" s="10" t="s">
        <v>38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9" t="s">
        <v>703</v>
      </c>
      <c r="B132" s="9" t="s">
        <v>704</v>
      </c>
      <c r="C132" s="10" t="s">
        <v>132</v>
      </c>
      <c r="D132" s="10" t="s">
        <v>56</v>
      </c>
      <c r="E132" s="10">
        <v>1.00727011658E11</v>
      </c>
      <c r="F132" s="10" t="s">
        <v>18</v>
      </c>
      <c r="G132" s="11" t="s">
        <v>61</v>
      </c>
      <c r="H132" s="10" t="s">
        <v>175</v>
      </c>
      <c r="I132" s="10">
        <v>7.0</v>
      </c>
      <c r="J132" s="10" t="s">
        <v>11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9" t="s">
        <v>705</v>
      </c>
      <c r="B133" s="9" t="s">
        <v>706</v>
      </c>
      <c r="C133" s="10" t="s">
        <v>125</v>
      </c>
      <c r="D133" s="10" t="s">
        <v>56</v>
      </c>
      <c r="E133" s="10">
        <v>1.1121908022E11</v>
      </c>
      <c r="F133" s="10" t="s">
        <v>18</v>
      </c>
      <c r="G133" s="11" t="s">
        <v>61</v>
      </c>
      <c r="H133" s="10" t="s">
        <v>175</v>
      </c>
      <c r="I133" s="10">
        <v>8.0</v>
      </c>
      <c r="J133" s="10" t="s">
        <v>38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9" t="s">
        <v>707</v>
      </c>
      <c r="B134" s="9" t="s">
        <v>708</v>
      </c>
      <c r="C134" s="10" t="s">
        <v>146</v>
      </c>
      <c r="D134" s="10" t="s">
        <v>56</v>
      </c>
      <c r="E134" s="10">
        <v>1.2091501102E11</v>
      </c>
      <c r="F134" s="10" t="s">
        <v>18</v>
      </c>
      <c r="G134" s="11" t="s">
        <v>61</v>
      </c>
      <c r="H134" s="10" t="s">
        <v>175</v>
      </c>
      <c r="I134" s="10">
        <v>9.0</v>
      </c>
      <c r="J134" s="10" t="s">
        <v>11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9" t="s">
        <v>709</v>
      </c>
      <c r="B135" s="9" t="s">
        <v>710</v>
      </c>
      <c r="C135" s="10" t="s">
        <v>146</v>
      </c>
      <c r="D135" s="10" t="s">
        <v>56</v>
      </c>
      <c r="E135" s="10">
        <v>1.20525010276E11</v>
      </c>
      <c r="F135" s="10" t="s">
        <v>18</v>
      </c>
      <c r="G135" s="11" t="s">
        <v>61</v>
      </c>
      <c r="H135" s="10" t="s">
        <v>175</v>
      </c>
      <c r="I135" s="10">
        <v>10.0</v>
      </c>
      <c r="J135" s="10" t="s">
        <v>11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9" t="s">
        <v>712</v>
      </c>
      <c r="B136" s="9" t="s">
        <v>714</v>
      </c>
      <c r="C136" s="10" t="s">
        <v>146</v>
      </c>
      <c r="D136" s="10" t="s">
        <v>56</v>
      </c>
      <c r="E136" s="10">
        <v>1.10221010972E11</v>
      </c>
      <c r="F136" s="10" t="s">
        <v>18</v>
      </c>
      <c r="G136" s="11" t="s">
        <v>61</v>
      </c>
      <c r="H136" s="10" t="s">
        <v>175</v>
      </c>
      <c r="I136" s="10">
        <v>11.0</v>
      </c>
      <c r="J136" s="10" t="s">
        <v>11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9" t="s">
        <v>716</v>
      </c>
      <c r="B137" s="9" t="s">
        <v>717</v>
      </c>
      <c r="C137" s="10" t="s">
        <v>166</v>
      </c>
      <c r="D137" s="10" t="s">
        <v>56</v>
      </c>
      <c r="E137" s="10">
        <v>1.20530101252E11</v>
      </c>
      <c r="F137" s="10" t="s">
        <v>18</v>
      </c>
      <c r="G137" s="11" t="s">
        <v>61</v>
      </c>
      <c r="H137" s="10" t="s">
        <v>175</v>
      </c>
      <c r="I137" s="10">
        <v>12.0</v>
      </c>
      <c r="J137" s="10" t="s">
        <v>11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9" t="s">
        <v>718</v>
      </c>
      <c r="B138" s="9" t="s">
        <v>719</v>
      </c>
      <c r="C138" s="10" t="s">
        <v>226</v>
      </c>
      <c r="D138" s="10" t="s">
        <v>56</v>
      </c>
      <c r="E138" s="10">
        <v>1.10605011536E11</v>
      </c>
      <c r="F138" s="10" t="s">
        <v>18</v>
      </c>
      <c r="G138" s="11" t="s">
        <v>61</v>
      </c>
      <c r="H138" s="10" t="s">
        <v>175</v>
      </c>
      <c r="I138" s="10">
        <v>13.0</v>
      </c>
      <c r="J138" s="10" t="s">
        <v>11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9" t="s">
        <v>720</v>
      </c>
      <c r="B139" s="9" t="s">
        <v>721</v>
      </c>
      <c r="C139" s="10" t="s">
        <v>55</v>
      </c>
      <c r="D139" s="10" t="s">
        <v>56</v>
      </c>
      <c r="E139" s="10">
        <v>1.20515130442E11</v>
      </c>
      <c r="F139" s="10" t="s">
        <v>18</v>
      </c>
      <c r="G139" s="11" t="s">
        <v>61</v>
      </c>
      <c r="H139" s="10" t="s">
        <v>175</v>
      </c>
      <c r="I139" s="10">
        <v>14.0</v>
      </c>
      <c r="J139" s="10" t="s">
        <v>38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9" t="s">
        <v>722</v>
      </c>
      <c r="B140" s="9" t="s">
        <v>723</v>
      </c>
      <c r="C140" s="10" t="s">
        <v>55</v>
      </c>
      <c r="D140" s="10" t="s">
        <v>56</v>
      </c>
      <c r="E140" s="10">
        <v>1.2052201123E11</v>
      </c>
      <c r="F140" s="10" t="s">
        <v>18</v>
      </c>
      <c r="G140" s="11" t="s">
        <v>61</v>
      </c>
      <c r="H140" s="10" t="s">
        <v>175</v>
      </c>
      <c r="I140" s="10">
        <v>15.0</v>
      </c>
      <c r="J140" s="10" t="s">
        <v>11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9" t="s">
        <v>724</v>
      </c>
      <c r="B141" s="9" t="s">
        <v>725</v>
      </c>
      <c r="C141" s="10" t="s">
        <v>55</v>
      </c>
      <c r="D141" s="10" t="s">
        <v>56</v>
      </c>
      <c r="E141" s="10">
        <v>1.20202010546E11</v>
      </c>
      <c r="F141" s="10" t="s">
        <v>18</v>
      </c>
      <c r="G141" s="11" t="s">
        <v>61</v>
      </c>
      <c r="H141" s="10" t="s">
        <v>175</v>
      </c>
      <c r="I141" s="10">
        <v>16.0</v>
      </c>
      <c r="J141" s="10" t="s">
        <v>38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9" t="s">
        <v>726</v>
      </c>
      <c r="B142" s="9" t="s">
        <v>727</v>
      </c>
      <c r="C142" s="10" t="s">
        <v>323</v>
      </c>
      <c r="D142" s="10" t="s">
        <v>56</v>
      </c>
      <c r="E142" s="10">
        <v>1.10429010592E11</v>
      </c>
      <c r="F142" s="10" t="s">
        <v>18</v>
      </c>
      <c r="G142" s="11" t="s">
        <v>61</v>
      </c>
      <c r="H142" s="10" t="s">
        <v>175</v>
      </c>
      <c r="I142" s="10">
        <v>17.0</v>
      </c>
      <c r="J142" s="10" t="s">
        <v>11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9" t="s">
        <v>728</v>
      </c>
      <c r="B143" s="9" t="s">
        <v>729</v>
      </c>
      <c r="C143" s="10" t="s">
        <v>21</v>
      </c>
      <c r="D143" s="10" t="s">
        <v>56</v>
      </c>
      <c r="E143" s="10">
        <v>1.20127010684E11</v>
      </c>
      <c r="F143" s="10" t="s">
        <v>18</v>
      </c>
      <c r="G143" s="11" t="s">
        <v>61</v>
      </c>
      <c r="H143" s="10" t="s">
        <v>175</v>
      </c>
      <c r="I143" s="10">
        <v>18.0</v>
      </c>
      <c r="J143" s="10" t="s">
        <v>38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9" t="s">
        <v>732</v>
      </c>
      <c r="B144" s="9" t="s">
        <v>734</v>
      </c>
      <c r="C144" s="10" t="s">
        <v>349</v>
      </c>
      <c r="D144" s="10" t="s">
        <v>56</v>
      </c>
      <c r="E144" s="10">
        <v>1.00621012142E11</v>
      </c>
      <c r="F144" s="10" t="s">
        <v>18</v>
      </c>
      <c r="G144" s="11" t="s">
        <v>61</v>
      </c>
      <c r="H144" s="10" t="s">
        <v>175</v>
      </c>
      <c r="I144" s="10">
        <v>19.0</v>
      </c>
      <c r="J144" s="10" t="s">
        <v>38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9" t="s">
        <v>735</v>
      </c>
      <c r="B145" s="9" t="s">
        <v>736</v>
      </c>
      <c r="C145" s="10" t="s">
        <v>16</v>
      </c>
      <c r="D145" s="10" t="s">
        <v>56</v>
      </c>
      <c r="E145" s="10">
        <v>1.11125131496E11</v>
      </c>
      <c r="F145" s="10" t="s">
        <v>18</v>
      </c>
      <c r="G145" s="11" t="s">
        <v>61</v>
      </c>
      <c r="H145" s="10" t="s">
        <v>175</v>
      </c>
      <c r="I145" s="10">
        <v>20.0</v>
      </c>
      <c r="J145" s="10" t="s">
        <v>11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9" t="s">
        <v>663</v>
      </c>
      <c r="B146" s="9" t="s">
        <v>666</v>
      </c>
      <c r="C146" s="10" t="s">
        <v>667</v>
      </c>
      <c r="D146" s="10" t="s">
        <v>576</v>
      </c>
      <c r="E146" s="10">
        <v>1.50211010035E11</v>
      </c>
      <c r="F146" s="10" t="s">
        <v>10</v>
      </c>
      <c r="G146" s="11" t="s">
        <v>574</v>
      </c>
      <c r="H146" s="10" t="s">
        <v>43</v>
      </c>
      <c r="I146" s="10">
        <v>1.0</v>
      </c>
      <c r="J146" s="10" t="s">
        <v>11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9" t="s">
        <v>711</v>
      </c>
      <c r="B147" s="9" t="s">
        <v>713</v>
      </c>
      <c r="C147" s="10" t="s">
        <v>715</v>
      </c>
      <c r="D147" s="10" t="s">
        <v>576</v>
      </c>
      <c r="E147" s="10">
        <v>1.50725010681E11</v>
      </c>
      <c r="F147" s="10" t="s">
        <v>10</v>
      </c>
      <c r="G147" s="11" t="s">
        <v>574</v>
      </c>
      <c r="H147" s="10" t="s">
        <v>43</v>
      </c>
      <c r="I147" s="10">
        <v>2.0</v>
      </c>
      <c r="J147" s="10" t="s">
        <v>38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9" t="s">
        <v>730</v>
      </c>
      <c r="B148" s="9" t="s">
        <v>731</v>
      </c>
      <c r="C148" s="10" t="s">
        <v>733</v>
      </c>
      <c r="D148" s="10" t="s">
        <v>576</v>
      </c>
      <c r="E148" s="10">
        <v>1.51026011225E11</v>
      </c>
      <c r="F148" s="10" t="s">
        <v>10</v>
      </c>
      <c r="G148" s="11" t="s">
        <v>574</v>
      </c>
      <c r="H148" s="10" t="s">
        <v>43</v>
      </c>
      <c r="I148" s="10">
        <v>3.0</v>
      </c>
      <c r="J148" s="10" t="s">
        <v>38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9" t="s">
        <v>737</v>
      </c>
      <c r="B149" s="9" t="s">
        <v>738</v>
      </c>
      <c r="C149" s="10" t="s">
        <v>739</v>
      </c>
      <c r="D149" s="10" t="s">
        <v>576</v>
      </c>
      <c r="E149" s="10">
        <v>1.50204011443E11</v>
      </c>
      <c r="F149" s="10" t="s">
        <v>10</v>
      </c>
      <c r="G149" s="11" t="s">
        <v>574</v>
      </c>
      <c r="H149" s="10" t="s">
        <v>43</v>
      </c>
      <c r="I149" s="10">
        <v>4.0</v>
      </c>
      <c r="J149" s="10" t="s">
        <v>11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9" t="s">
        <v>740</v>
      </c>
      <c r="B150" s="9" t="s">
        <v>741</v>
      </c>
      <c r="C150" s="10" t="s">
        <v>742</v>
      </c>
      <c r="D150" s="10" t="s">
        <v>576</v>
      </c>
      <c r="E150" s="10">
        <v>1.50214010241E11</v>
      </c>
      <c r="F150" s="10" t="s">
        <v>10</v>
      </c>
      <c r="G150" s="11" t="s">
        <v>574</v>
      </c>
      <c r="H150" s="10" t="s">
        <v>43</v>
      </c>
      <c r="I150" s="10">
        <v>5.0</v>
      </c>
      <c r="J150" s="10" t="s">
        <v>11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9" t="s">
        <v>743</v>
      </c>
      <c r="B151" s="9" t="s">
        <v>744</v>
      </c>
      <c r="C151" s="10" t="s">
        <v>745</v>
      </c>
      <c r="D151" s="10" t="s">
        <v>576</v>
      </c>
      <c r="E151" s="10">
        <v>2.1010112367E11</v>
      </c>
      <c r="F151" s="10" t="s">
        <v>10</v>
      </c>
      <c r="G151" s="11" t="s">
        <v>574</v>
      </c>
      <c r="H151" s="10" t="s">
        <v>43</v>
      </c>
      <c r="I151" s="10">
        <v>6.0</v>
      </c>
      <c r="J151" s="10" t="s">
        <v>11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9" t="s">
        <v>746</v>
      </c>
      <c r="B152" s="9" t="s">
        <v>747</v>
      </c>
      <c r="C152" s="10" t="s">
        <v>748</v>
      </c>
      <c r="D152" s="10" t="s">
        <v>576</v>
      </c>
      <c r="E152" s="10">
        <v>1.41212011553E11</v>
      </c>
      <c r="F152" s="10" t="s">
        <v>10</v>
      </c>
      <c r="G152" s="11" t="s">
        <v>574</v>
      </c>
      <c r="H152" s="10" t="s">
        <v>43</v>
      </c>
      <c r="I152" s="10">
        <v>7.0</v>
      </c>
      <c r="J152" s="10" t="s">
        <v>11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9" t="s">
        <v>749</v>
      </c>
      <c r="B153" s="9" t="s">
        <v>750</v>
      </c>
      <c r="C153" s="10" t="s">
        <v>751</v>
      </c>
      <c r="D153" s="10" t="s">
        <v>576</v>
      </c>
      <c r="E153" s="10">
        <v>1.50116011689E11</v>
      </c>
      <c r="F153" s="10" t="s">
        <v>10</v>
      </c>
      <c r="G153" s="11" t="s">
        <v>574</v>
      </c>
      <c r="H153" s="10" t="s">
        <v>43</v>
      </c>
      <c r="I153" s="10">
        <v>8.0</v>
      </c>
      <c r="J153" s="10" t="s">
        <v>11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9" t="s">
        <v>752</v>
      </c>
      <c r="B154" s="9" t="s">
        <v>753</v>
      </c>
      <c r="C154" s="10" t="s">
        <v>326</v>
      </c>
      <c r="D154" s="10" t="s">
        <v>576</v>
      </c>
      <c r="E154" s="10">
        <v>1.51120011627E11</v>
      </c>
      <c r="F154" s="10" t="s">
        <v>10</v>
      </c>
      <c r="G154" s="11" t="s">
        <v>574</v>
      </c>
      <c r="H154" s="10" t="s">
        <v>43</v>
      </c>
      <c r="I154" s="10">
        <v>9.0</v>
      </c>
      <c r="J154" s="10" t="s">
        <v>11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9" t="s">
        <v>754</v>
      </c>
      <c r="B155" s="9" t="s">
        <v>755</v>
      </c>
      <c r="C155" s="10" t="s">
        <v>756</v>
      </c>
      <c r="D155" s="10" t="s">
        <v>576</v>
      </c>
      <c r="E155" s="10">
        <v>1.50312011037E11</v>
      </c>
      <c r="F155" s="10" t="s">
        <v>10</v>
      </c>
      <c r="G155" s="11" t="s">
        <v>574</v>
      </c>
      <c r="H155" s="10" t="s">
        <v>43</v>
      </c>
      <c r="I155" s="10">
        <v>10.0</v>
      </c>
      <c r="J155" s="10" t="s">
        <v>11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9" t="s">
        <v>757</v>
      </c>
      <c r="B156" s="9" t="s">
        <v>758</v>
      </c>
      <c r="C156" s="10" t="s">
        <v>756</v>
      </c>
      <c r="D156" s="10" t="s">
        <v>576</v>
      </c>
      <c r="E156" s="10">
        <v>1.50630011577E11</v>
      </c>
      <c r="F156" s="10" t="s">
        <v>10</v>
      </c>
      <c r="G156" s="11" t="s">
        <v>574</v>
      </c>
      <c r="H156" s="10" t="s">
        <v>43</v>
      </c>
      <c r="I156" s="10">
        <v>11.0</v>
      </c>
      <c r="J156" s="10" t="s">
        <v>11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9" t="s">
        <v>759</v>
      </c>
      <c r="B157" s="9" t="s">
        <v>760</v>
      </c>
      <c r="C157" s="10" t="s">
        <v>366</v>
      </c>
      <c r="D157" s="10" t="s">
        <v>576</v>
      </c>
      <c r="E157" s="10">
        <v>1.40206011659E11</v>
      </c>
      <c r="F157" s="10" t="s">
        <v>10</v>
      </c>
      <c r="G157" s="11" t="s">
        <v>574</v>
      </c>
      <c r="H157" s="10" t="s">
        <v>43</v>
      </c>
      <c r="I157" s="10">
        <v>12.0</v>
      </c>
      <c r="J157" s="10" t="s">
        <v>11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9" t="s">
        <v>761</v>
      </c>
      <c r="B158" s="9" t="s">
        <v>762</v>
      </c>
      <c r="C158" s="10" t="s">
        <v>366</v>
      </c>
      <c r="D158" s="10" t="s">
        <v>576</v>
      </c>
      <c r="E158" s="10">
        <v>1.40814011185E11</v>
      </c>
      <c r="F158" s="10" t="s">
        <v>10</v>
      </c>
      <c r="G158" s="11" t="s">
        <v>574</v>
      </c>
      <c r="H158" s="10" t="s">
        <v>43</v>
      </c>
      <c r="I158" s="10">
        <v>13.0</v>
      </c>
      <c r="J158" s="10" t="s">
        <v>11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9" t="s">
        <v>763</v>
      </c>
      <c r="B159" s="9" t="s">
        <v>764</v>
      </c>
      <c r="C159" s="10" t="s">
        <v>366</v>
      </c>
      <c r="D159" s="10" t="s">
        <v>576</v>
      </c>
      <c r="E159" s="10">
        <v>1.40417012379E11</v>
      </c>
      <c r="F159" s="10" t="s">
        <v>10</v>
      </c>
      <c r="G159" s="11" t="s">
        <v>574</v>
      </c>
      <c r="H159" s="10" t="s">
        <v>43</v>
      </c>
      <c r="I159" s="10">
        <v>14.0</v>
      </c>
      <c r="J159" s="10" t="s">
        <v>11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9" t="s">
        <v>765</v>
      </c>
      <c r="B160" s="9" t="s">
        <v>766</v>
      </c>
      <c r="C160" s="10" t="s">
        <v>767</v>
      </c>
      <c r="D160" s="10" t="s">
        <v>576</v>
      </c>
      <c r="E160" s="10">
        <v>1.40612011881E11</v>
      </c>
      <c r="F160" s="10" t="s">
        <v>10</v>
      </c>
      <c r="G160" s="11" t="s">
        <v>574</v>
      </c>
      <c r="H160" s="10" t="s">
        <v>43</v>
      </c>
      <c r="I160" s="10">
        <v>15.0</v>
      </c>
      <c r="J160" s="10" t="s">
        <v>11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9" t="s">
        <v>768</v>
      </c>
      <c r="B161" s="9" t="s">
        <v>769</v>
      </c>
      <c r="C161" s="10" t="s">
        <v>770</v>
      </c>
      <c r="D161" s="10" t="s">
        <v>576</v>
      </c>
      <c r="E161" s="10">
        <v>1.51018110055E11</v>
      </c>
      <c r="F161" s="10" t="s">
        <v>10</v>
      </c>
      <c r="G161" s="11" t="s">
        <v>574</v>
      </c>
      <c r="H161" s="10" t="s">
        <v>43</v>
      </c>
      <c r="I161" s="10">
        <v>16.0</v>
      </c>
      <c r="J161" s="10" t="s">
        <v>11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9" t="s">
        <v>771</v>
      </c>
      <c r="B162" s="9" t="s">
        <v>772</v>
      </c>
      <c r="C162" s="10" t="s">
        <v>773</v>
      </c>
      <c r="D162" s="10" t="s">
        <v>576</v>
      </c>
      <c r="E162" s="10">
        <v>1.50223060531E11</v>
      </c>
      <c r="F162" s="10" t="s">
        <v>10</v>
      </c>
      <c r="G162" s="11" t="s">
        <v>574</v>
      </c>
      <c r="H162" s="10" t="s">
        <v>43</v>
      </c>
      <c r="I162" s="10">
        <v>17.0</v>
      </c>
      <c r="J162" s="10" t="s">
        <v>38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9" t="s">
        <v>774</v>
      </c>
      <c r="B163" s="9" t="s">
        <v>775</v>
      </c>
      <c r="C163" s="10" t="s">
        <v>318</v>
      </c>
      <c r="D163" s="10" t="s">
        <v>576</v>
      </c>
      <c r="E163" s="10">
        <v>1.51027011147E11</v>
      </c>
      <c r="F163" s="10" t="s">
        <v>10</v>
      </c>
      <c r="G163" s="11" t="s">
        <v>574</v>
      </c>
      <c r="H163" s="10" t="s">
        <v>43</v>
      </c>
      <c r="I163" s="10">
        <v>18.0</v>
      </c>
      <c r="J163" s="10" t="s">
        <v>11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9" t="s">
        <v>776</v>
      </c>
      <c r="B164" s="9" t="s">
        <v>777</v>
      </c>
      <c r="C164" s="10" t="s">
        <v>359</v>
      </c>
      <c r="D164" s="10" t="s">
        <v>576</v>
      </c>
      <c r="E164" s="10">
        <v>1.50924010211E11</v>
      </c>
      <c r="F164" s="10" t="s">
        <v>10</v>
      </c>
      <c r="G164" s="11" t="s">
        <v>574</v>
      </c>
      <c r="H164" s="10" t="s">
        <v>43</v>
      </c>
      <c r="I164" s="10">
        <v>19.0</v>
      </c>
      <c r="J164" s="10" t="s">
        <v>11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9" t="s">
        <v>778</v>
      </c>
      <c r="B165" s="9" t="s">
        <v>779</v>
      </c>
      <c r="C165" s="10" t="s">
        <v>359</v>
      </c>
      <c r="D165" s="10" t="s">
        <v>576</v>
      </c>
      <c r="E165" s="10">
        <v>1.60119080363E11</v>
      </c>
      <c r="F165" s="10" t="s">
        <v>10</v>
      </c>
      <c r="G165" s="11" t="s">
        <v>574</v>
      </c>
      <c r="H165" s="10" t="s">
        <v>43</v>
      </c>
      <c r="I165" s="10">
        <v>20.0</v>
      </c>
      <c r="J165" s="10" t="s">
        <v>11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9" t="s">
        <v>780</v>
      </c>
      <c r="B166" s="9" t="s">
        <v>781</v>
      </c>
      <c r="C166" s="10" t="s">
        <v>390</v>
      </c>
      <c r="D166" s="10" t="s">
        <v>576</v>
      </c>
      <c r="E166" s="10">
        <v>1.50703010963E11</v>
      </c>
      <c r="F166" s="10" t="s">
        <v>10</v>
      </c>
      <c r="G166" s="11" t="s">
        <v>574</v>
      </c>
      <c r="H166" s="10" t="s">
        <v>43</v>
      </c>
      <c r="I166" s="10">
        <v>21.0</v>
      </c>
      <c r="J166" s="10" t="s">
        <v>11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9" t="s">
        <v>782</v>
      </c>
      <c r="B167" s="9" t="s">
        <v>783</v>
      </c>
      <c r="C167" s="10" t="s">
        <v>784</v>
      </c>
      <c r="D167" s="10" t="s">
        <v>576</v>
      </c>
      <c r="E167" s="10">
        <v>1.5692115E7</v>
      </c>
      <c r="F167" s="10" t="s">
        <v>10</v>
      </c>
      <c r="G167" s="11" t="s">
        <v>574</v>
      </c>
      <c r="H167" s="10" t="s">
        <v>43</v>
      </c>
      <c r="I167" s="10">
        <v>22.0</v>
      </c>
      <c r="J167" s="10" t="s">
        <v>11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9" t="s">
        <v>785</v>
      </c>
      <c r="B168" s="9" t="s">
        <v>786</v>
      </c>
      <c r="C168" s="10" t="s">
        <v>784</v>
      </c>
      <c r="D168" s="10" t="s">
        <v>576</v>
      </c>
      <c r="E168" s="10">
        <v>1.50103011399E11</v>
      </c>
      <c r="F168" s="10" t="s">
        <v>10</v>
      </c>
      <c r="G168" s="11" t="s">
        <v>574</v>
      </c>
      <c r="H168" s="10" t="s">
        <v>43</v>
      </c>
      <c r="I168" s="10">
        <v>23.0</v>
      </c>
      <c r="J168" s="10" t="s">
        <v>11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9" t="s">
        <v>787</v>
      </c>
      <c r="B169" s="9" t="s">
        <v>788</v>
      </c>
      <c r="C169" s="10" t="s">
        <v>789</v>
      </c>
      <c r="D169" s="10" t="s">
        <v>576</v>
      </c>
      <c r="E169" s="10">
        <v>1.50110010095E11</v>
      </c>
      <c r="F169" s="10" t="s">
        <v>10</v>
      </c>
      <c r="G169" s="11" t="s">
        <v>574</v>
      </c>
      <c r="H169" s="10" t="s">
        <v>43</v>
      </c>
      <c r="I169" s="10">
        <v>24.0</v>
      </c>
      <c r="J169" s="10" t="s">
        <v>11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9" t="s">
        <v>790</v>
      </c>
      <c r="B170" s="9" t="s">
        <v>791</v>
      </c>
      <c r="C170" s="9" t="s">
        <v>373</v>
      </c>
      <c r="D170" s="9" t="s">
        <v>576</v>
      </c>
      <c r="E170" s="9">
        <v>1.50627010063E11</v>
      </c>
      <c r="F170" s="9" t="s">
        <v>10</v>
      </c>
      <c r="G170" s="11" t="s">
        <v>574</v>
      </c>
      <c r="H170" s="9" t="s">
        <v>43</v>
      </c>
      <c r="I170" s="9">
        <v>25.0</v>
      </c>
      <c r="J170" s="9" t="s">
        <v>11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9" t="s">
        <v>792</v>
      </c>
      <c r="B171" s="9" t="s">
        <v>793</v>
      </c>
      <c r="C171" s="9" t="s">
        <v>370</v>
      </c>
      <c r="D171" s="9" t="s">
        <v>576</v>
      </c>
      <c r="E171" s="9">
        <v>1.50328011357E11</v>
      </c>
      <c r="F171" s="9" t="s">
        <v>10</v>
      </c>
      <c r="G171" s="11" t="s">
        <v>574</v>
      </c>
      <c r="H171" s="9" t="s">
        <v>43</v>
      </c>
      <c r="I171" s="9">
        <v>26.0</v>
      </c>
      <c r="J171" s="9" t="s">
        <v>11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9" t="s">
        <v>794</v>
      </c>
      <c r="B172" s="9" t="s">
        <v>795</v>
      </c>
      <c r="C172" s="9" t="s">
        <v>796</v>
      </c>
      <c r="D172" s="9" t="s">
        <v>576</v>
      </c>
      <c r="E172" s="9">
        <v>1.40325030457E11</v>
      </c>
      <c r="F172" s="9" t="s">
        <v>10</v>
      </c>
      <c r="G172" s="11" t="s">
        <v>574</v>
      </c>
      <c r="H172" s="9" t="s">
        <v>43</v>
      </c>
      <c r="I172" s="9">
        <v>27.0</v>
      </c>
      <c r="J172" s="9" t="s">
        <v>11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9" t="s">
        <v>797</v>
      </c>
      <c r="B173" s="9" t="s">
        <v>798</v>
      </c>
      <c r="C173" s="9" t="s">
        <v>799</v>
      </c>
      <c r="D173" s="9" t="s">
        <v>576</v>
      </c>
      <c r="E173" s="9">
        <v>1.50126010049E11</v>
      </c>
      <c r="F173" s="9" t="s">
        <v>10</v>
      </c>
      <c r="G173" s="11" t="s">
        <v>574</v>
      </c>
      <c r="H173" s="9" t="s">
        <v>43</v>
      </c>
      <c r="I173" s="9">
        <v>28.0</v>
      </c>
      <c r="J173" s="9" t="s">
        <v>11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9" t="s">
        <v>800</v>
      </c>
      <c r="B174" s="9" t="s">
        <v>801</v>
      </c>
      <c r="C174" s="9" t="s">
        <v>802</v>
      </c>
      <c r="D174" s="9" t="s">
        <v>576</v>
      </c>
      <c r="E174" s="9">
        <v>1.50311011123E11</v>
      </c>
      <c r="F174" s="9" t="s">
        <v>10</v>
      </c>
      <c r="G174" s="11" t="s">
        <v>574</v>
      </c>
      <c r="H174" s="9" t="s">
        <v>43</v>
      </c>
      <c r="I174" s="9">
        <v>29.0</v>
      </c>
      <c r="J174" s="9" t="s">
        <v>11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9" t="s">
        <v>803</v>
      </c>
      <c r="B175" s="9" t="s">
        <v>804</v>
      </c>
      <c r="C175" s="9" t="s">
        <v>805</v>
      </c>
      <c r="D175" s="9" t="s">
        <v>576</v>
      </c>
      <c r="E175" s="9">
        <v>1.50921012289E11</v>
      </c>
      <c r="F175" s="9" t="s">
        <v>10</v>
      </c>
      <c r="G175" s="11" t="s">
        <v>574</v>
      </c>
      <c r="H175" s="9" t="s">
        <v>43</v>
      </c>
      <c r="I175" s="9">
        <v>30.0</v>
      </c>
      <c r="J175" s="9" t="s">
        <v>11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9" t="s">
        <v>806</v>
      </c>
      <c r="B176" s="9" t="s">
        <v>807</v>
      </c>
      <c r="C176" s="9" t="s">
        <v>808</v>
      </c>
      <c r="D176" s="9" t="s">
        <v>576</v>
      </c>
      <c r="E176" s="9">
        <v>1.50611011045E11</v>
      </c>
      <c r="F176" s="9" t="s">
        <v>10</v>
      </c>
      <c r="G176" s="11" t="s">
        <v>574</v>
      </c>
      <c r="H176" s="9" t="s">
        <v>43</v>
      </c>
      <c r="I176" s="9">
        <v>31.0</v>
      </c>
      <c r="J176" s="9" t="s">
        <v>11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9" t="s">
        <v>809</v>
      </c>
      <c r="B177" s="9" t="s">
        <v>810</v>
      </c>
      <c r="C177" s="9" t="s">
        <v>808</v>
      </c>
      <c r="D177" s="9" t="s">
        <v>576</v>
      </c>
      <c r="E177" s="9">
        <v>1.50714010459E11</v>
      </c>
      <c r="F177" s="9" t="s">
        <v>10</v>
      </c>
      <c r="G177" s="11" t="s">
        <v>574</v>
      </c>
      <c r="H177" s="9" t="s">
        <v>43</v>
      </c>
      <c r="I177" s="9">
        <v>32.0</v>
      </c>
      <c r="J177" s="9" t="s">
        <v>11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9" t="s">
        <v>811</v>
      </c>
      <c r="B178" s="9" t="s">
        <v>812</v>
      </c>
      <c r="C178" s="9" t="s">
        <v>808</v>
      </c>
      <c r="D178" s="9" t="s">
        <v>576</v>
      </c>
      <c r="E178" s="9">
        <v>1.50111010687E11</v>
      </c>
      <c r="F178" s="9" t="s">
        <v>10</v>
      </c>
      <c r="G178" s="11" t="s">
        <v>574</v>
      </c>
      <c r="H178" s="9" t="s">
        <v>43</v>
      </c>
      <c r="I178" s="9">
        <v>33.0</v>
      </c>
      <c r="J178" s="9" t="s">
        <v>11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9" t="s">
        <v>813</v>
      </c>
      <c r="B179" s="9" t="s">
        <v>814</v>
      </c>
      <c r="C179" s="9" t="s">
        <v>667</v>
      </c>
      <c r="D179" s="9" t="s">
        <v>576</v>
      </c>
      <c r="E179" s="9">
        <v>1.50823011979E11</v>
      </c>
      <c r="F179" s="9" t="s">
        <v>10</v>
      </c>
      <c r="G179" s="11" t="s">
        <v>574</v>
      </c>
      <c r="H179" s="9" t="s">
        <v>143</v>
      </c>
      <c r="I179" s="9">
        <v>1.0</v>
      </c>
      <c r="J179" s="9" t="s">
        <v>38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9" t="s">
        <v>815</v>
      </c>
      <c r="B180" s="9" t="s">
        <v>816</v>
      </c>
      <c r="C180" s="9" t="s">
        <v>817</v>
      </c>
      <c r="D180" s="9" t="s">
        <v>576</v>
      </c>
      <c r="E180" s="9">
        <v>1.51101040377E11</v>
      </c>
      <c r="F180" s="9" t="s">
        <v>10</v>
      </c>
      <c r="G180" s="11" t="s">
        <v>574</v>
      </c>
      <c r="H180" s="9" t="s">
        <v>143</v>
      </c>
      <c r="I180" s="9">
        <v>2.0</v>
      </c>
      <c r="J180" s="9" t="s">
        <v>38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9" t="s">
        <v>818</v>
      </c>
      <c r="B181" s="9" t="s">
        <v>819</v>
      </c>
      <c r="C181" s="9" t="s">
        <v>733</v>
      </c>
      <c r="D181" s="9" t="s">
        <v>576</v>
      </c>
      <c r="E181" s="9">
        <v>1.50924010035E11</v>
      </c>
      <c r="F181" s="9" t="s">
        <v>10</v>
      </c>
      <c r="G181" s="11" t="s">
        <v>574</v>
      </c>
      <c r="H181" s="9" t="s">
        <v>143</v>
      </c>
      <c r="I181" s="9">
        <v>3.0</v>
      </c>
      <c r="J181" s="9" t="s">
        <v>38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9" t="s">
        <v>820</v>
      </c>
      <c r="B182" s="9" t="s">
        <v>821</v>
      </c>
      <c r="C182" s="9" t="s">
        <v>742</v>
      </c>
      <c r="D182" s="9" t="s">
        <v>576</v>
      </c>
      <c r="E182" s="9">
        <v>1.40102140261E11</v>
      </c>
      <c r="F182" s="9" t="s">
        <v>10</v>
      </c>
      <c r="G182" s="11" t="s">
        <v>574</v>
      </c>
      <c r="H182" s="9" t="s">
        <v>143</v>
      </c>
      <c r="I182" s="9">
        <v>4.0</v>
      </c>
      <c r="J182" s="9" t="s">
        <v>11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9" t="s">
        <v>822</v>
      </c>
      <c r="B183" s="9" t="s">
        <v>823</v>
      </c>
      <c r="C183" s="9" t="s">
        <v>742</v>
      </c>
      <c r="D183" s="9" t="s">
        <v>576</v>
      </c>
      <c r="E183" s="9">
        <v>1.50822010245E11</v>
      </c>
      <c r="F183" s="9" t="s">
        <v>10</v>
      </c>
      <c r="G183" s="11" t="s">
        <v>574</v>
      </c>
      <c r="H183" s="9" t="s">
        <v>143</v>
      </c>
      <c r="I183" s="9">
        <v>5.0</v>
      </c>
      <c r="J183" s="9" t="s">
        <v>11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9" t="s">
        <v>824</v>
      </c>
      <c r="B184" s="9" t="s">
        <v>825</v>
      </c>
      <c r="C184" s="9" t="s">
        <v>411</v>
      </c>
      <c r="D184" s="9" t="s">
        <v>576</v>
      </c>
      <c r="E184" s="9">
        <v>1.50118010719E11</v>
      </c>
      <c r="F184" s="9" t="s">
        <v>10</v>
      </c>
      <c r="G184" s="11" t="s">
        <v>574</v>
      </c>
      <c r="H184" s="9" t="s">
        <v>143</v>
      </c>
      <c r="I184" s="9">
        <v>6.0</v>
      </c>
      <c r="J184" s="9" t="s">
        <v>11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9" t="s">
        <v>826</v>
      </c>
      <c r="B185" s="9" t="s">
        <v>827</v>
      </c>
      <c r="C185" s="9" t="s">
        <v>748</v>
      </c>
      <c r="D185" s="9" t="s">
        <v>576</v>
      </c>
      <c r="E185" s="9">
        <v>1.50309140401E11</v>
      </c>
      <c r="F185" s="9" t="s">
        <v>10</v>
      </c>
      <c r="G185" s="11" t="s">
        <v>574</v>
      </c>
      <c r="H185" s="9" t="s">
        <v>143</v>
      </c>
      <c r="I185" s="9">
        <v>7.0</v>
      </c>
      <c r="J185" s="9" t="s">
        <v>38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9" t="s">
        <v>828</v>
      </c>
      <c r="B186" s="9" t="s">
        <v>829</v>
      </c>
      <c r="C186" s="9" t="s">
        <v>347</v>
      </c>
      <c r="D186" s="9" t="s">
        <v>576</v>
      </c>
      <c r="E186" s="9">
        <v>1.51009011573E11</v>
      </c>
      <c r="F186" s="9" t="s">
        <v>10</v>
      </c>
      <c r="G186" s="11" t="s">
        <v>574</v>
      </c>
      <c r="H186" s="9" t="s">
        <v>143</v>
      </c>
      <c r="I186" s="9">
        <v>8.0</v>
      </c>
      <c r="J186" s="9" t="s">
        <v>11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9" t="s">
        <v>830</v>
      </c>
      <c r="B187" s="9" t="s">
        <v>831</v>
      </c>
      <c r="C187" s="9" t="s">
        <v>326</v>
      </c>
      <c r="D187" s="9" t="s">
        <v>576</v>
      </c>
      <c r="E187" s="9">
        <v>1.50606060037E11</v>
      </c>
      <c r="F187" s="9" t="s">
        <v>10</v>
      </c>
      <c r="G187" s="11" t="s">
        <v>574</v>
      </c>
      <c r="H187" s="9" t="s">
        <v>143</v>
      </c>
      <c r="I187" s="9">
        <v>9.0</v>
      </c>
      <c r="J187" s="9" t="s">
        <v>11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9" t="s">
        <v>832</v>
      </c>
      <c r="B188" s="9" t="s">
        <v>833</v>
      </c>
      <c r="C188" s="9" t="s">
        <v>756</v>
      </c>
      <c r="D188" s="9" t="s">
        <v>576</v>
      </c>
      <c r="E188" s="9">
        <v>1.50519010891E11</v>
      </c>
      <c r="F188" s="9" t="s">
        <v>10</v>
      </c>
      <c r="G188" s="11" t="s">
        <v>574</v>
      </c>
      <c r="H188" s="9" t="s">
        <v>143</v>
      </c>
      <c r="I188" s="9">
        <v>10.0</v>
      </c>
      <c r="J188" s="9" t="s">
        <v>11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9" t="s">
        <v>834</v>
      </c>
      <c r="B189" s="9" t="s">
        <v>835</v>
      </c>
      <c r="C189" s="9" t="s">
        <v>366</v>
      </c>
      <c r="D189" s="9" t="s">
        <v>576</v>
      </c>
      <c r="E189" s="9">
        <v>1.40529010773E11</v>
      </c>
      <c r="F189" s="9" t="s">
        <v>10</v>
      </c>
      <c r="G189" s="11" t="s">
        <v>574</v>
      </c>
      <c r="H189" s="9" t="s">
        <v>143</v>
      </c>
      <c r="I189" s="9">
        <v>11.0</v>
      </c>
      <c r="J189" s="9" t="s">
        <v>11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9" t="s">
        <v>836</v>
      </c>
      <c r="B190" s="9" t="s">
        <v>837</v>
      </c>
      <c r="C190" s="9" t="s">
        <v>366</v>
      </c>
      <c r="D190" s="9" t="s">
        <v>576</v>
      </c>
      <c r="E190" s="9">
        <v>1.40821130537E11</v>
      </c>
      <c r="F190" s="9" t="s">
        <v>10</v>
      </c>
      <c r="G190" s="11" t="s">
        <v>574</v>
      </c>
      <c r="H190" s="9" t="s">
        <v>143</v>
      </c>
      <c r="I190" s="9">
        <v>12.0</v>
      </c>
      <c r="J190" s="9" t="s">
        <v>11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9" t="s">
        <v>838</v>
      </c>
      <c r="B191" s="9" t="s">
        <v>839</v>
      </c>
      <c r="C191" s="9" t="s">
        <v>366</v>
      </c>
      <c r="D191" s="9" t="s">
        <v>576</v>
      </c>
      <c r="E191" s="9">
        <v>1.40805010877E11</v>
      </c>
      <c r="F191" s="9" t="s">
        <v>10</v>
      </c>
      <c r="G191" s="11" t="s">
        <v>574</v>
      </c>
      <c r="H191" s="9" t="s">
        <v>143</v>
      </c>
      <c r="I191" s="9">
        <v>13.0</v>
      </c>
      <c r="J191" s="9" t="s">
        <v>11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9" t="s">
        <v>840</v>
      </c>
      <c r="B192" s="9" t="s">
        <v>841</v>
      </c>
      <c r="C192" s="9" t="s">
        <v>366</v>
      </c>
      <c r="D192" s="9" t="s">
        <v>576</v>
      </c>
      <c r="E192" s="9">
        <v>1.40306011517E11</v>
      </c>
      <c r="F192" s="9" t="s">
        <v>10</v>
      </c>
      <c r="G192" s="11" t="s">
        <v>574</v>
      </c>
      <c r="H192" s="9" t="s">
        <v>143</v>
      </c>
      <c r="I192" s="9">
        <v>14.0</v>
      </c>
      <c r="J192" s="9" t="s">
        <v>11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9" t="s">
        <v>842</v>
      </c>
      <c r="B193" s="9" t="s">
        <v>843</v>
      </c>
      <c r="C193" s="9" t="s">
        <v>767</v>
      </c>
      <c r="D193" s="9" t="s">
        <v>576</v>
      </c>
      <c r="E193" s="9">
        <v>1.50627010629E11</v>
      </c>
      <c r="F193" s="9" t="s">
        <v>10</v>
      </c>
      <c r="G193" s="11" t="s">
        <v>574</v>
      </c>
      <c r="H193" s="9" t="s">
        <v>143</v>
      </c>
      <c r="I193" s="9">
        <v>15.0</v>
      </c>
      <c r="J193" s="9" t="s">
        <v>11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9" t="s">
        <v>844</v>
      </c>
      <c r="B194" s="9" t="s">
        <v>845</v>
      </c>
      <c r="C194" s="9" t="s">
        <v>380</v>
      </c>
      <c r="D194" s="9" t="s">
        <v>576</v>
      </c>
      <c r="E194" s="9">
        <v>1.51017011303E11</v>
      </c>
      <c r="F194" s="9" t="s">
        <v>10</v>
      </c>
      <c r="G194" s="11" t="s">
        <v>574</v>
      </c>
      <c r="H194" s="9" t="s">
        <v>143</v>
      </c>
      <c r="I194" s="9">
        <v>16.0</v>
      </c>
      <c r="J194" s="9" t="s">
        <v>11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9" t="s">
        <v>846</v>
      </c>
      <c r="B195" s="9" t="s">
        <v>847</v>
      </c>
      <c r="C195" s="9" t="s">
        <v>773</v>
      </c>
      <c r="D195" s="9" t="s">
        <v>576</v>
      </c>
      <c r="E195" s="9">
        <v>1.50306010257E11</v>
      </c>
      <c r="F195" s="9" t="s">
        <v>10</v>
      </c>
      <c r="G195" s="11" t="s">
        <v>574</v>
      </c>
      <c r="H195" s="9" t="s">
        <v>143</v>
      </c>
      <c r="I195" s="9">
        <v>17.0</v>
      </c>
      <c r="J195" s="9" t="s">
        <v>11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9" t="s">
        <v>848</v>
      </c>
      <c r="B196" s="9" t="s">
        <v>849</v>
      </c>
      <c r="C196" s="9" t="s">
        <v>359</v>
      </c>
      <c r="D196" s="9" t="s">
        <v>576</v>
      </c>
      <c r="E196" s="9">
        <v>1.60508010465E11</v>
      </c>
      <c r="F196" s="9" t="s">
        <v>10</v>
      </c>
      <c r="G196" s="11" t="s">
        <v>574</v>
      </c>
      <c r="H196" s="9" t="s">
        <v>143</v>
      </c>
      <c r="I196" s="9">
        <v>18.0</v>
      </c>
      <c r="J196" s="9" t="s">
        <v>11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9" t="s">
        <v>850</v>
      </c>
      <c r="B197" s="9" t="s">
        <v>851</v>
      </c>
      <c r="C197" s="9" t="s">
        <v>359</v>
      </c>
      <c r="D197" s="9" t="s">
        <v>576</v>
      </c>
      <c r="E197" s="9">
        <v>1.50617101463E11</v>
      </c>
      <c r="F197" s="9" t="s">
        <v>10</v>
      </c>
      <c r="G197" s="11" t="s">
        <v>574</v>
      </c>
      <c r="H197" s="9" t="s">
        <v>143</v>
      </c>
      <c r="I197" s="9">
        <v>19.0</v>
      </c>
      <c r="J197" s="9" t="s">
        <v>11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9" t="s">
        <v>852</v>
      </c>
      <c r="B198" s="9" t="s">
        <v>853</v>
      </c>
      <c r="C198" s="9" t="s">
        <v>359</v>
      </c>
      <c r="D198" s="9" t="s">
        <v>576</v>
      </c>
      <c r="E198" s="9">
        <v>1.60211102537E11</v>
      </c>
      <c r="F198" s="9" t="s">
        <v>10</v>
      </c>
      <c r="G198" s="11" t="s">
        <v>574</v>
      </c>
      <c r="H198" s="9" t="s">
        <v>143</v>
      </c>
      <c r="I198" s="9">
        <v>20.0</v>
      </c>
      <c r="J198" s="9" t="s">
        <v>11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9" t="s">
        <v>854</v>
      </c>
      <c r="B199" s="9" t="s">
        <v>855</v>
      </c>
      <c r="C199" s="9" t="s">
        <v>390</v>
      </c>
      <c r="D199" s="9" t="s">
        <v>576</v>
      </c>
      <c r="E199" s="9">
        <v>1.41207011559E11</v>
      </c>
      <c r="F199" s="9" t="s">
        <v>10</v>
      </c>
      <c r="G199" s="11" t="s">
        <v>574</v>
      </c>
      <c r="H199" s="9" t="s">
        <v>143</v>
      </c>
      <c r="I199" s="9">
        <v>21.0</v>
      </c>
      <c r="J199" s="9" t="s">
        <v>11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9" t="s">
        <v>856</v>
      </c>
      <c r="B200" s="9" t="s">
        <v>857</v>
      </c>
      <c r="C200" s="9" t="s">
        <v>784</v>
      </c>
      <c r="D200" s="9" t="s">
        <v>576</v>
      </c>
      <c r="E200" s="9">
        <v>1.51005010557E11</v>
      </c>
      <c r="F200" s="9" t="s">
        <v>10</v>
      </c>
      <c r="G200" s="11" t="s">
        <v>574</v>
      </c>
      <c r="H200" s="9" t="s">
        <v>143</v>
      </c>
      <c r="I200" s="9">
        <v>22.0</v>
      </c>
      <c r="J200" s="9" t="s">
        <v>11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9" t="s">
        <v>858</v>
      </c>
      <c r="B201" s="9" t="s">
        <v>859</v>
      </c>
      <c r="C201" s="9" t="s">
        <v>789</v>
      </c>
      <c r="D201" s="9" t="s">
        <v>576</v>
      </c>
      <c r="E201" s="9">
        <v>1.50618011873E11</v>
      </c>
      <c r="F201" s="9" t="s">
        <v>10</v>
      </c>
      <c r="G201" s="11" t="s">
        <v>574</v>
      </c>
      <c r="H201" s="9" t="s">
        <v>143</v>
      </c>
      <c r="I201" s="9">
        <v>23.0</v>
      </c>
      <c r="J201" s="9" t="s">
        <v>11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9" t="s">
        <v>860</v>
      </c>
      <c r="B202" s="9" t="s">
        <v>861</v>
      </c>
      <c r="C202" s="9" t="s">
        <v>789</v>
      </c>
      <c r="D202" s="9" t="s">
        <v>576</v>
      </c>
      <c r="E202" s="9">
        <v>1.50909030345E11</v>
      </c>
      <c r="F202" s="9" t="s">
        <v>10</v>
      </c>
      <c r="G202" s="11" t="s">
        <v>574</v>
      </c>
      <c r="H202" s="9" t="s">
        <v>143</v>
      </c>
      <c r="I202" s="9">
        <v>24.0</v>
      </c>
      <c r="J202" s="9" t="s">
        <v>11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9" t="s">
        <v>862</v>
      </c>
      <c r="B203" s="9" t="s">
        <v>863</v>
      </c>
      <c r="C203" s="9" t="s">
        <v>396</v>
      </c>
      <c r="D203" s="9" t="s">
        <v>576</v>
      </c>
      <c r="E203" s="9">
        <v>1.50221010733E11</v>
      </c>
      <c r="F203" s="9" t="s">
        <v>10</v>
      </c>
      <c r="G203" s="11" t="s">
        <v>574</v>
      </c>
      <c r="H203" s="9" t="s">
        <v>143</v>
      </c>
      <c r="I203" s="9">
        <v>25.0</v>
      </c>
      <c r="J203" s="9" t="s">
        <v>11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9" t="s">
        <v>864</v>
      </c>
      <c r="B204" s="9" t="s">
        <v>865</v>
      </c>
      <c r="C204" s="9" t="s">
        <v>370</v>
      </c>
      <c r="D204" s="9" t="s">
        <v>576</v>
      </c>
      <c r="E204" s="9">
        <v>1.50120011075E11</v>
      </c>
      <c r="F204" s="9" t="s">
        <v>10</v>
      </c>
      <c r="G204" s="11" t="s">
        <v>574</v>
      </c>
      <c r="H204" s="9" t="s">
        <v>143</v>
      </c>
      <c r="I204" s="9">
        <v>26.0</v>
      </c>
      <c r="J204" s="9" t="s">
        <v>11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9" t="s">
        <v>866</v>
      </c>
      <c r="B205" s="9" t="s">
        <v>867</v>
      </c>
      <c r="C205" s="9" t="s">
        <v>799</v>
      </c>
      <c r="D205" s="9" t="s">
        <v>576</v>
      </c>
      <c r="E205" s="9">
        <v>1.50922012125E11</v>
      </c>
      <c r="F205" s="9" t="s">
        <v>10</v>
      </c>
      <c r="G205" s="11" t="s">
        <v>574</v>
      </c>
      <c r="H205" s="9" t="s">
        <v>143</v>
      </c>
      <c r="I205" s="9">
        <v>27.0</v>
      </c>
      <c r="J205" s="9" t="s">
        <v>11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9" t="s">
        <v>868</v>
      </c>
      <c r="B206" s="9" t="s">
        <v>869</v>
      </c>
      <c r="C206" s="9" t="s">
        <v>802</v>
      </c>
      <c r="D206" s="9" t="s">
        <v>576</v>
      </c>
      <c r="E206" s="9">
        <v>1.51225030269E11</v>
      </c>
      <c r="F206" s="9" t="s">
        <v>10</v>
      </c>
      <c r="G206" s="11" t="s">
        <v>574</v>
      </c>
      <c r="H206" s="9" t="s">
        <v>143</v>
      </c>
      <c r="I206" s="9">
        <v>28.0</v>
      </c>
      <c r="J206" s="9" t="s">
        <v>11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9" t="s">
        <v>870</v>
      </c>
      <c r="B207" s="9" t="s">
        <v>871</v>
      </c>
      <c r="C207" s="9" t="s">
        <v>802</v>
      </c>
      <c r="D207" s="9" t="s">
        <v>576</v>
      </c>
      <c r="E207" s="9">
        <v>1.40211010263E11</v>
      </c>
      <c r="F207" s="9" t="s">
        <v>10</v>
      </c>
      <c r="G207" s="11" t="s">
        <v>574</v>
      </c>
      <c r="H207" s="9" t="s">
        <v>143</v>
      </c>
      <c r="I207" s="9">
        <v>29.0</v>
      </c>
      <c r="J207" s="9" t="s">
        <v>11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9" t="s">
        <v>872</v>
      </c>
      <c r="B208" s="9" t="s">
        <v>873</v>
      </c>
      <c r="C208" s="9" t="s">
        <v>805</v>
      </c>
      <c r="D208" s="9" t="s">
        <v>576</v>
      </c>
      <c r="E208" s="9">
        <v>1.51029010965E11</v>
      </c>
      <c r="F208" s="9" t="s">
        <v>10</v>
      </c>
      <c r="G208" s="11" t="s">
        <v>574</v>
      </c>
      <c r="H208" s="9" t="s">
        <v>143</v>
      </c>
      <c r="I208" s="9">
        <v>30.0</v>
      </c>
      <c r="J208" s="9" t="s">
        <v>11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9" t="s">
        <v>874</v>
      </c>
      <c r="B209" s="9" t="s">
        <v>875</v>
      </c>
      <c r="C209" s="9" t="s">
        <v>808</v>
      </c>
      <c r="D209" s="9" t="s">
        <v>576</v>
      </c>
      <c r="E209" s="9">
        <v>1.51023100513E11</v>
      </c>
      <c r="F209" s="9" t="s">
        <v>10</v>
      </c>
      <c r="G209" s="11" t="s">
        <v>574</v>
      </c>
      <c r="H209" s="9" t="s">
        <v>143</v>
      </c>
      <c r="I209" s="9">
        <v>31.0</v>
      </c>
      <c r="J209" s="9" t="s">
        <v>11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9" t="s">
        <v>876</v>
      </c>
      <c r="B210" s="9" t="s">
        <v>877</v>
      </c>
      <c r="C210" s="9" t="s">
        <v>808</v>
      </c>
      <c r="D210" s="9" t="s">
        <v>576</v>
      </c>
      <c r="E210" s="9">
        <v>1.50215010083E11</v>
      </c>
      <c r="F210" s="9" t="s">
        <v>10</v>
      </c>
      <c r="G210" s="11" t="s">
        <v>574</v>
      </c>
      <c r="H210" s="9" t="s">
        <v>143</v>
      </c>
      <c r="I210" s="9">
        <v>32.0</v>
      </c>
      <c r="J210" s="9" t="s">
        <v>11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9" t="s">
        <v>878</v>
      </c>
      <c r="B211" s="9" t="s">
        <v>879</v>
      </c>
      <c r="C211" s="9" t="s">
        <v>808</v>
      </c>
      <c r="D211" s="9" t="s">
        <v>576</v>
      </c>
      <c r="E211" s="9">
        <v>1.51121010407E11</v>
      </c>
      <c r="F211" s="9" t="s">
        <v>10</v>
      </c>
      <c r="G211" s="11" t="s">
        <v>574</v>
      </c>
      <c r="H211" s="9" t="s">
        <v>143</v>
      </c>
      <c r="I211" s="9">
        <v>33.0</v>
      </c>
      <c r="J211" s="9" t="s">
        <v>11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9" t="s">
        <v>316</v>
      </c>
      <c r="B212" s="9" t="s">
        <v>880</v>
      </c>
      <c r="C212" s="9" t="s">
        <v>715</v>
      </c>
      <c r="D212" s="9" t="s">
        <v>576</v>
      </c>
      <c r="E212" s="9">
        <v>1.50307010849E11</v>
      </c>
      <c r="F212" s="9" t="s">
        <v>10</v>
      </c>
      <c r="G212" s="11" t="s">
        <v>574</v>
      </c>
      <c r="H212" s="9" t="s">
        <v>175</v>
      </c>
      <c r="I212" s="9">
        <v>1.0</v>
      </c>
      <c r="J212" s="9" t="s">
        <v>38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9" t="s">
        <v>324</v>
      </c>
      <c r="B213" s="9" t="s">
        <v>881</v>
      </c>
      <c r="C213" s="9" t="s">
        <v>817</v>
      </c>
      <c r="D213" s="9" t="s">
        <v>576</v>
      </c>
      <c r="E213" s="9">
        <v>1.50306021095E11</v>
      </c>
      <c r="F213" s="9" t="s">
        <v>10</v>
      </c>
      <c r="G213" s="11" t="s">
        <v>574</v>
      </c>
      <c r="H213" s="9" t="s">
        <v>175</v>
      </c>
      <c r="I213" s="9">
        <v>2.0</v>
      </c>
      <c r="J213" s="9" t="s">
        <v>38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9" t="s">
        <v>327</v>
      </c>
      <c r="B214" s="9" t="s">
        <v>882</v>
      </c>
      <c r="C214" s="9" t="s">
        <v>739</v>
      </c>
      <c r="D214" s="9" t="s">
        <v>576</v>
      </c>
      <c r="E214" s="9">
        <v>1.51229011559E11</v>
      </c>
      <c r="F214" s="9" t="s">
        <v>10</v>
      </c>
      <c r="G214" s="11" t="s">
        <v>574</v>
      </c>
      <c r="H214" s="9" t="s">
        <v>175</v>
      </c>
      <c r="I214" s="9">
        <v>3.0</v>
      </c>
      <c r="J214" s="9" t="s">
        <v>11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9" t="s">
        <v>332</v>
      </c>
      <c r="B215" s="9" t="s">
        <v>883</v>
      </c>
      <c r="C215" s="9" t="s">
        <v>742</v>
      </c>
      <c r="D215" s="9" t="s">
        <v>576</v>
      </c>
      <c r="E215" s="9">
        <v>1.50731060263E11</v>
      </c>
      <c r="F215" s="9" t="s">
        <v>10</v>
      </c>
      <c r="G215" s="11" t="s">
        <v>574</v>
      </c>
      <c r="H215" s="9" t="s">
        <v>175</v>
      </c>
      <c r="I215" s="9">
        <v>4.0</v>
      </c>
      <c r="J215" s="9" t="s">
        <v>11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9" t="s">
        <v>337</v>
      </c>
      <c r="B216" s="9" t="s">
        <v>884</v>
      </c>
      <c r="C216" s="9" t="s">
        <v>745</v>
      </c>
      <c r="D216" s="9" t="s">
        <v>576</v>
      </c>
      <c r="E216" s="9">
        <v>2.11101029548E11</v>
      </c>
      <c r="F216" s="9" t="s">
        <v>10</v>
      </c>
      <c r="G216" s="11" t="s">
        <v>574</v>
      </c>
      <c r="H216" s="9" t="s">
        <v>175</v>
      </c>
      <c r="I216" s="9">
        <v>5.0</v>
      </c>
      <c r="J216" s="9" t="s">
        <v>11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9" t="s">
        <v>342</v>
      </c>
      <c r="B217" s="9" t="s">
        <v>885</v>
      </c>
      <c r="C217" s="9" t="s">
        <v>411</v>
      </c>
      <c r="D217" s="9" t="s">
        <v>576</v>
      </c>
      <c r="E217" s="9">
        <v>1.50904011049E11</v>
      </c>
      <c r="F217" s="9" t="s">
        <v>10</v>
      </c>
      <c r="G217" s="11" t="s">
        <v>574</v>
      </c>
      <c r="H217" s="9" t="s">
        <v>175</v>
      </c>
      <c r="I217" s="9">
        <v>6.0</v>
      </c>
      <c r="J217" s="9" t="s">
        <v>11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9" t="s">
        <v>344</v>
      </c>
      <c r="B218" s="9" t="s">
        <v>886</v>
      </c>
      <c r="C218" s="9" t="s">
        <v>751</v>
      </c>
      <c r="D218" s="9" t="s">
        <v>576</v>
      </c>
      <c r="E218" s="9">
        <v>1.50308010605E11</v>
      </c>
      <c r="F218" s="9" t="s">
        <v>10</v>
      </c>
      <c r="G218" s="11" t="s">
        <v>574</v>
      </c>
      <c r="H218" s="9" t="s">
        <v>175</v>
      </c>
      <c r="I218" s="9">
        <v>7.0</v>
      </c>
      <c r="J218" s="9" t="s">
        <v>11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9" t="s">
        <v>351</v>
      </c>
      <c r="B219" s="9" t="s">
        <v>887</v>
      </c>
      <c r="C219" s="9" t="s">
        <v>347</v>
      </c>
      <c r="D219" s="9" t="s">
        <v>576</v>
      </c>
      <c r="E219" s="9">
        <v>1.50112011913E11</v>
      </c>
      <c r="F219" s="9" t="s">
        <v>10</v>
      </c>
      <c r="G219" s="11" t="s">
        <v>574</v>
      </c>
      <c r="H219" s="9" t="s">
        <v>175</v>
      </c>
      <c r="I219" s="9">
        <v>8.0</v>
      </c>
      <c r="J219" s="9" t="s">
        <v>11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9" t="s">
        <v>355</v>
      </c>
      <c r="B220" s="9" t="s">
        <v>888</v>
      </c>
      <c r="C220" s="9" t="s">
        <v>326</v>
      </c>
      <c r="D220" s="9" t="s">
        <v>576</v>
      </c>
      <c r="E220" s="9">
        <v>1.50826010963E11</v>
      </c>
      <c r="F220" s="9" t="s">
        <v>10</v>
      </c>
      <c r="G220" s="11" t="s">
        <v>574</v>
      </c>
      <c r="H220" s="9" t="s">
        <v>175</v>
      </c>
      <c r="I220" s="9">
        <v>9.0</v>
      </c>
      <c r="J220" s="9" t="s">
        <v>11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9" t="s">
        <v>357</v>
      </c>
      <c r="B221" s="9" t="s">
        <v>889</v>
      </c>
      <c r="C221" s="9" t="s">
        <v>756</v>
      </c>
      <c r="D221" s="9" t="s">
        <v>576</v>
      </c>
      <c r="E221" s="9">
        <v>1.50602010761E11</v>
      </c>
      <c r="F221" s="9" t="s">
        <v>10</v>
      </c>
      <c r="G221" s="11" t="s">
        <v>574</v>
      </c>
      <c r="H221" s="9" t="s">
        <v>175</v>
      </c>
      <c r="I221" s="9">
        <v>10.0</v>
      </c>
      <c r="J221" s="9" t="s">
        <v>11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9" t="s">
        <v>364</v>
      </c>
      <c r="B222" s="9" t="s">
        <v>890</v>
      </c>
      <c r="C222" s="9" t="s">
        <v>366</v>
      </c>
      <c r="D222" s="9" t="s">
        <v>576</v>
      </c>
      <c r="E222" s="9">
        <v>1.40527010243E11</v>
      </c>
      <c r="F222" s="9" t="s">
        <v>10</v>
      </c>
      <c r="G222" s="11" t="s">
        <v>574</v>
      </c>
      <c r="H222" s="9" t="s">
        <v>175</v>
      </c>
      <c r="I222" s="9">
        <v>11.0</v>
      </c>
      <c r="J222" s="9" t="s">
        <v>11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9" t="s">
        <v>368</v>
      </c>
      <c r="B223" s="9" t="s">
        <v>891</v>
      </c>
      <c r="C223" s="9" t="s">
        <v>366</v>
      </c>
      <c r="D223" s="9" t="s">
        <v>576</v>
      </c>
      <c r="E223" s="9">
        <v>1.41103011503E11</v>
      </c>
      <c r="F223" s="9" t="s">
        <v>10</v>
      </c>
      <c r="G223" s="11" t="s">
        <v>574</v>
      </c>
      <c r="H223" s="9" t="s">
        <v>175</v>
      </c>
      <c r="I223" s="9">
        <v>12.0</v>
      </c>
      <c r="J223" s="9" t="s">
        <v>11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9" t="s">
        <v>371</v>
      </c>
      <c r="B224" s="9" t="s">
        <v>892</v>
      </c>
      <c r="C224" s="9" t="s">
        <v>366</v>
      </c>
      <c r="D224" s="9" t="s">
        <v>576</v>
      </c>
      <c r="E224" s="9">
        <v>1.40110030329E11</v>
      </c>
      <c r="F224" s="9" t="s">
        <v>10</v>
      </c>
      <c r="G224" s="11" t="s">
        <v>574</v>
      </c>
      <c r="H224" s="9" t="s">
        <v>175</v>
      </c>
      <c r="I224" s="9">
        <v>13.0</v>
      </c>
      <c r="J224" s="9" t="s">
        <v>11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9" t="s">
        <v>374</v>
      </c>
      <c r="B225" s="9" t="s">
        <v>893</v>
      </c>
      <c r="C225" s="9" t="s">
        <v>767</v>
      </c>
      <c r="D225" s="9" t="s">
        <v>576</v>
      </c>
      <c r="E225" s="9">
        <v>1.41015010527E11</v>
      </c>
      <c r="F225" s="9" t="s">
        <v>10</v>
      </c>
      <c r="G225" s="11" t="s">
        <v>574</v>
      </c>
      <c r="H225" s="9" t="s">
        <v>175</v>
      </c>
      <c r="I225" s="9">
        <v>14.0</v>
      </c>
      <c r="J225" s="9" t="s">
        <v>11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9" t="s">
        <v>378</v>
      </c>
      <c r="B226" s="9" t="s">
        <v>894</v>
      </c>
      <c r="C226" s="9" t="s">
        <v>770</v>
      </c>
      <c r="D226" s="9" t="s">
        <v>576</v>
      </c>
      <c r="E226" s="9">
        <v>1.50618011259E11</v>
      </c>
      <c r="F226" s="9" t="s">
        <v>10</v>
      </c>
      <c r="G226" s="11" t="s">
        <v>574</v>
      </c>
      <c r="H226" s="9" t="s">
        <v>175</v>
      </c>
      <c r="I226" s="9">
        <v>15.0</v>
      </c>
      <c r="J226" s="9" t="s">
        <v>11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9" t="s">
        <v>895</v>
      </c>
      <c r="B227" s="9" t="s">
        <v>896</v>
      </c>
      <c r="C227" s="9" t="s">
        <v>380</v>
      </c>
      <c r="D227" s="9" t="s">
        <v>576</v>
      </c>
      <c r="E227" s="9">
        <v>1.50609011855E11</v>
      </c>
      <c r="F227" s="9" t="s">
        <v>10</v>
      </c>
      <c r="G227" s="11" t="s">
        <v>574</v>
      </c>
      <c r="H227" s="9" t="s">
        <v>175</v>
      </c>
      <c r="I227" s="9">
        <v>16.0</v>
      </c>
      <c r="J227" s="9" t="s">
        <v>11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9" t="s">
        <v>381</v>
      </c>
      <c r="B228" s="9" t="s">
        <v>897</v>
      </c>
      <c r="C228" s="9" t="s">
        <v>318</v>
      </c>
      <c r="D228" s="9" t="s">
        <v>576</v>
      </c>
      <c r="E228" s="9">
        <v>1.50809011673E11</v>
      </c>
      <c r="F228" s="9" t="s">
        <v>10</v>
      </c>
      <c r="G228" s="11" t="s">
        <v>574</v>
      </c>
      <c r="H228" s="9" t="s">
        <v>175</v>
      </c>
      <c r="I228" s="9">
        <v>17.0</v>
      </c>
      <c r="J228" s="9" t="s">
        <v>11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9" t="s">
        <v>383</v>
      </c>
      <c r="B229" s="9" t="s">
        <v>898</v>
      </c>
      <c r="C229" s="9" t="s">
        <v>359</v>
      </c>
      <c r="D229" s="9" t="s">
        <v>576</v>
      </c>
      <c r="E229" s="9">
        <v>1.51112011651E11</v>
      </c>
      <c r="F229" s="9" t="s">
        <v>10</v>
      </c>
      <c r="G229" s="11" t="s">
        <v>574</v>
      </c>
      <c r="H229" s="9" t="s">
        <v>175</v>
      </c>
      <c r="I229" s="9">
        <v>18.0</v>
      </c>
      <c r="J229" s="9" t="s">
        <v>38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9" t="s">
        <v>386</v>
      </c>
      <c r="B230" s="9" t="s">
        <v>899</v>
      </c>
      <c r="C230" s="9" t="s">
        <v>359</v>
      </c>
      <c r="D230" s="9" t="s">
        <v>576</v>
      </c>
      <c r="E230" s="9">
        <v>1.50429120253E11</v>
      </c>
      <c r="F230" s="9" t="s">
        <v>10</v>
      </c>
      <c r="G230" s="11" t="s">
        <v>574</v>
      </c>
      <c r="H230" s="9" t="s">
        <v>175</v>
      </c>
      <c r="I230" s="9">
        <v>19.0</v>
      </c>
      <c r="J230" s="9" t="s">
        <v>11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9" t="s">
        <v>388</v>
      </c>
      <c r="B231" s="9" t="s">
        <v>900</v>
      </c>
      <c r="C231" s="9" t="s">
        <v>390</v>
      </c>
      <c r="D231" s="9" t="s">
        <v>576</v>
      </c>
      <c r="E231" s="9">
        <v>1.50713012161E11</v>
      </c>
      <c r="F231" s="9" t="s">
        <v>10</v>
      </c>
      <c r="G231" s="11" t="s">
        <v>574</v>
      </c>
      <c r="H231" s="9" t="s">
        <v>175</v>
      </c>
      <c r="I231" s="9">
        <v>20.0</v>
      </c>
      <c r="J231" s="9" t="s">
        <v>11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9" t="s">
        <v>901</v>
      </c>
      <c r="B232" s="9" t="s">
        <v>902</v>
      </c>
      <c r="C232" s="9" t="s">
        <v>390</v>
      </c>
      <c r="D232" s="9" t="s">
        <v>576</v>
      </c>
      <c r="E232" s="9">
        <v>1.40220011049E11</v>
      </c>
      <c r="F232" s="9" t="s">
        <v>10</v>
      </c>
      <c r="G232" s="11" t="s">
        <v>574</v>
      </c>
      <c r="H232" s="9" t="s">
        <v>175</v>
      </c>
      <c r="I232" s="9">
        <v>21.0</v>
      </c>
      <c r="J232" s="9" t="s">
        <v>11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9" t="s">
        <v>391</v>
      </c>
      <c r="B233" s="9" t="s">
        <v>903</v>
      </c>
      <c r="C233" s="9" t="s">
        <v>784</v>
      </c>
      <c r="D233" s="9" t="s">
        <v>576</v>
      </c>
      <c r="E233" s="9">
        <v>1.51119030337E11</v>
      </c>
      <c r="F233" s="9" t="s">
        <v>10</v>
      </c>
      <c r="G233" s="11" t="s">
        <v>574</v>
      </c>
      <c r="H233" s="9" t="s">
        <v>175</v>
      </c>
      <c r="I233" s="9">
        <v>22.0</v>
      </c>
      <c r="J233" s="9" t="s">
        <v>11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9" t="s">
        <v>393</v>
      </c>
      <c r="B234" s="9" t="s">
        <v>904</v>
      </c>
      <c r="C234" s="9" t="s">
        <v>789</v>
      </c>
      <c r="D234" s="9" t="s">
        <v>576</v>
      </c>
      <c r="E234" s="9">
        <v>1.51016010819E11</v>
      </c>
      <c r="F234" s="9" t="s">
        <v>10</v>
      </c>
      <c r="G234" s="11" t="s">
        <v>574</v>
      </c>
      <c r="H234" s="9" t="s">
        <v>175</v>
      </c>
      <c r="I234" s="9">
        <v>23.0</v>
      </c>
      <c r="J234" s="9" t="s">
        <v>11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9" t="s">
        <v>398</v>
      </c>
      <c r="B235" s="9" t="s">
        <v>905</v>
      </c>
      <c r="C235" s="9" t="s">
        <v>373</v>
      </c>
      <c r="D235" s="9" t="s">
        <v>576</v>
      </c>
      <c r="E235" s="9">
        <v>1.50609011599E11</v>
      </c>
      <c r="F235" s="9" t="s">
        <v>10</v>
      </c>
      <c r="G235" s="11" t="s">
        <v>574</v>
      </c>
      <c r="H235" s="9" t="s">
        <v>175</v>
      </c>
      <c r="I235" s="9">
        <v>24.0</v>
      </c>
      <c r="J235" s="9" t="s">
        <v>11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9" t="s">
        <v>906</v>
      </c>
      <c r="B236" s="9" t="s">
        <v>907</v>
      </c>
      <c r="C236" s="9" t="s">
        <v>396</v>
      </c>
      <c r="D236" s="9" t="s">
        <v>576</v>
      </c>
      <c r="E236" s="9">
        <v>1.50625010203E11</v>
      </c>
      <c r="F236" s="9" t="s">
        <v>10</v>
      </c>
      <c r="G236" s="11" t="s">
        <v>574</v>
      </c>
      <c r="H236" s="9" t="s">
        <v>175</v>
      </c>
      <c r="I236" s="9">
        <v>25.0</v>
      </c>
      <c r="J236" s="9" t="s">
        <v>11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9" t="s">
        <v>400</v>
      </c>
      <c r="B237" s="9" t="s">
        <v>908</v>
      </c>
      <c r="C237" s="9" t="s">
        <v>796</v>
      </c>
      <c r="D237" s="9" t="s">
        <v>576</v>
      </c>
      <c r="E237" s="9">
        <v>1.41124010921E11</v>
      </c>
      <c r="F237" s="9" t="s">
        <v>10</v>
      </c>
      <c r="G237" s="11" t="s">
        <v>574</v>
      </c>
      <c r="H237" s="9" t="s">
        <v>175</v>
      </c>
      <c r="I237" s="9">
        <v>26.0</v>
      </c>
      <c r="J237" s="9" t="s">
        <v>11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9" t="s">
        <v>402</v>
      </c>
      <c r="B238" s="9" t="s">
        <v>909</v>
      </c>
      <c r="C238" s="9" t="s">
        <v>799</v>
      </c>
      <c r="D238" s="9" t="s">
        <v>576</v>
      </c>
      <c r="E238" s="9">
        <v>1.40428010985E11</v>
      </c>
      <c r="F238" s="9" t="s">
        <v>10</v>
      </c>
      <c r="G238" s="11" t="s">
        <v>574</v>
      </c>
      <c r="H238" s="9" t="s">
        <v>175</v>
      </c>
      <c r="I238" s="9">
        <v>27.0</v>
      </c>
      <c r="J238" s="9" t="s">
        <v>11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9" t="s">
        <v>404</v>
      </c>
      <c r="B239" s="9" t="s">
        <v>910</v>
      </c>
      <c r="C239" s="9" t="s">
        <v>802</v>
      </c>
      <c r="D239" s="9" t="s">
        <v>576</v>
      </c>
      <c r="E239" s="9">
        <v>1.40416011665E11</v>
      </c>
      <c r="F239" s="9" t="s">
        <v>10</v>
      </c>
      <c r="G239" s="11" t="s">
        <v>574</v>
      </c>
      <c r="H239" s="9" t="s">
        <v>175</v>
      </c>
      <c r="I239" s="9">
        <v>28.0</v>
      </c>
      <c r="J239" s="9" t="s">
        <v>11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9" t="s">
        <v>407</v>
      </c>
      <c r="B240" s="9" t="s">
        <v>911</v>
      </c>
      <c r="C240" s="9" t="s">
        <v>805</v>
      </c>
      <c r="D240" s="9" t="s">
        <v>576</v>
      </c>
      <c r="E240" s="9">
        <v>1.50203011177E11</v>
      </c>
      <c r="F240" s="9" t="s">
        <v>10</v>
      </c>
      <c r="G240" s="11" t="s">
        <v>574</v>
      </c>
      <c r="H240" s="9" t="s">
        <v>175</v>
      </c>
      <c r="I240" s="9">
        <v>29.0</v>
      </c>
      <c r="J240" s="9" t="s">
        <v>11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9" t="s">
        <v>912</v>
      </c>
      <c r="B241" s="9" t="s">
        <v>913</v>
      </c>
      <c r="C241" s="9" t="s">
        <v>805</v>
      </c>
      <c r="D241" s="9" t="s">
        <v>576</v>
      </c>
      <c r="E241" s="9">
        <v>1.50416101037E11</v>
      </c>
      <c r="F241" s="9" t="s">
        <v>10</v>
      </c>
      <c r="G241" s="11" t="s">
        <v>574</v>
      </c>
      <c r="H241" s="9" t="s">
        <v>175</v>
      </c>
      <c r="I241" s="9">
        <v>30.0</v>
      </c>
      <c r="J241" s="9" t="s">
        <v>11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9" t="s">
        <v>914</v>
      </c>
      <c r="B242" s="9" t="s">
        <v>915</v>
      </c>
      <c r="C242" s="9" t="s">
        <v>808</v>
      </c>
      <c r="D242" s="9" t="s">
        <v>576</v>
      </c>
      <c r="E242" s="9">
        <v>1.50424011197E11</v>
      </c>
      <c r="F242" s="9" t="s">
        <v>10</v>
      </c>
      <c r="G242" s="11" t="s">
        <v>574</v>
      </c>
      <c r="H242" s="9" t="s">
        <v>175</v>
      </c>
      <c r="I242" s="9">
        <v>31.0</v>
      </c>
      <c r="J242" s="9" t="s">
        <v>11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9" t="s">
        <v>409</v>
      </c>
      <c r="B243" s="9" t="s">
        <v>916</v>
      </c>
      <c r="C243" s="9" t="s">
        <v>808</v>
      </c>
      <c r="D243" s="9" t="s">
        <v>576</v>
      </c>
      <c r="E243" s="9">
        <v>1.50508010765E11</v>
      </c>
      <c r="F243" s="9" t="s">
        <v>10</v>
      </c>
      <c r="G243" s="11" t="s">
        <v>574</v>
      </c>
      <c r="H243" s="9" t="s">
        <v>175</v>
      </c>
      <c r="I243" s="9">
        <v>32.0</v>
      </c>
      <c r="J243" s="9" t="s">
        <v>11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9" t="s">
        <v>917</v>
      </c>
      <c r="B244" s="9" t="s">
        <v>918</v>
      </c>
      <c r="C244" s="9" t="s">
        <v>667</v>
      </c>
      <c r="D244" s="9" t="s">
        <v>576</v>
      </c>
      <c r="E244" s="9">
        <v>1.50605010994E11</v>
      </c>
      <c r="F244" s="9" t="s">
        <v>18</v>
      </c>
      <c r="G244" s="11" t="s">
        <v>574</v>
      </c>
      <c r="H244" s="9" t="s">
        <v>43</v>
      </c>
      <c r="I244" s="9">
        <v>1.0</v>
      </c>
      <c r="J244" s="9" t="s">
        <v>11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9" t="s">
        <v>919</v>
      </c>
      <c r="B245" s="9" t="s">
        <v>920</v>
      </c>
      <c r="C245" s="9" t="s">
        <v>715</v>
      </c>
      <c r="D245" s="9" t="s">
        <v>576</v>
      </c>
      <c r="E245" s="9">
        <v>1.40609050388E11</v>
      </c>
      <c r="F245" s="9" t="s">
        <v>18</v>
      </c>
      <c r="G245" s="11" t="s">
        <v>574</v>
      </c>
      <c r="H245" s="9" t="s">
        <v>43</v>
      </c>
      <c r="I245" s="9">
        <v>2.0</v>
      </c>
      <c r="J245" s="9" t="s">
        <v>38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9" t="s">
        <v>921</v>
      </c>
      <c r="B246" s="9" t="s">
        <v>922</v>
      </c>
      <c r="C246" s="9" t="s">
        <v>733</v>
      </c>
      <c r="D246" s="9" t="s">
        <v>576</v>
      </c>
      <c r="E246" s="9">
        <v>1.50309011802E11</v>
      </c>
      <c r="F246" s="9" t="s">
        <v>18</v>
      </c>
      <c r="G246" s="11" t="s">
        <v>574</v>
      </c>
      <c r="H246" s="9" t="s">
        <v>43</v>
      </c>
      <c r="I246" s="9">
        <v>3.0</v>
      </c>
      <c r="J246" s="9" t="s">
        <v>38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9" t="s">
        <v>923</v>
      </c>
      <c r="B247" s="9" t="s">
        <v>924</v>
      </c>
      <c r="C247" s="9" t="s">
        <v>925</v>
      </c>
      <c r="D247" s="9" t="s">
        <v>576</v>
      </c>
      <c r="E247" s="9">
        <v>1.60310020246E11</v>
      </c>
      <c r="F247" s="9" t="s">
        <v>18</v>
      </c>
      <c r="G247" s="11" t="s">
        <v>574</v>
      </c>
      <c r="H247" s="9" t="s">
        <v>43</v>
      </c>
      <c r="I247" s="9">
        <v>4.0</v>
      </c>
      <c r="J247" s="9" t="s">
        <v>11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9" t="s">
        <v>927</v>
      </c>
      <c r="B248" s="9" t="s">
        <v>928</v>
      </c>
      <c r="C248" s="9" t="s">
        <v>929</v>
      </c>
      <c r="D248" s="9" t="s">
        <v>576</v>
      </c>
      <c r="E248" s="9">
        <v>1.5022301119E11</v>
      </c>
      <c r="F248" s="9" t="s">
        <v>18</v>
      </c>
      <c r="G248" s="11" t="s">
        <v>574</v>
      </c>
      <c r="H248" s="9" t="s">
        <v>43</v>
      </c>
      <c r="I248" s="9">
        <v>5.0</v>
      </c>
      <c r="J248" s="9" t="s">
        <v>11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9" t="s">
        <v>930</v>
      </c>
      <c r="B249" s="9" t="s">
        <v>931</v>
      </c>
      <c r="C249" s="9" t="s">
        <v>929</v>
      </c>
      <c r="D249" s="9" t="s">
        <v>576</v>
      </c>
      <c r="E249" s="9">
        <v>1.40205081364E11</v>
      </c>
      <c r="F249" s="9" t="s">
        <v>18</v>
      </c>
      <c r="G249" s="11" t="s">
        <v>574</v>
      </c>
      <c r="H249" s="9" t="s">
        <v>43</v>
      </c>
      <c r="I249" s="9">
        <v>6.0</v>
      </c>
      <c r="J249" s="9" t="s">
        <v>38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9" t="s">
        <v>932</v>
      </c>
      <c r="B250" s="9" t="s">
        <v>933</v>
      </c>
      <c r="C250" s="9" t="s">
        <v>745</v>
      </c>
      <c r="D250" s="9" t="s">
        <v>576</v>
      </c>
      <c r="E250" s="9">
        <v>2.10101080449E11</v>
      </c>
      <c r="F250" s="9" t="s">
        <v>18</v>
      </c>
      <c r="G250" s="11" t="s">
        <v>574</v>
      </c>
      <c r="H250" s="9" t="s">
        <v>43</v>
      </c>
      <c r="I250" s="9">
        <v>7.0</v>
      </c>
      <c r="J250" s="9" t="s">
        <v>11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9" t="s">
        <v>934</v>
      </c>
      <c r="B251" s="9" t="s">
        <v>935</v>
      </c>
      <c r="C251" s="9" t="s">
        <v>411</v>
      </c>
      <c r="D251" s="9" t="s">
        <v>576</v>
      </c>
      <c r="E251" s="9">
        <v>1.50404010736E11</v>
      </c>
      <c r="F251" s="9" t="s">
        <v>18</v>
      </c>
      <c r="G251" s="11" t="s">
        <v>574</v>
      </c>
      <c r="H251" s="9" t="s">
        <v>43</v>
      </c>
      <c r="I251" s="9">
        <v>8.0</v>
      </c>
      <c r="J251" s="9" t="s">
        <v>11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9" t="s">
        <v>936</v>
      </c>
      <c r="B252" s="9" t="s">
        <v>937</v>
      </c>
      <c r="C252" s="9" t="s">
        <v>751</v>
      </c>
      <c r="D252" s="9" t="s">
        <v>576</v>
      </c>
      <c r="E252" s="9">
        <v>1.50917010176E11</v>
      </c>
      <c r="F252" s="9" t="s">
        <v>18</v>
      </c>
      <c r="G252" s="11" t="s">
        <v>574</v>
      </c>
      <c r="H252" s="9" t="s">
        <v>43</v>
      </c>
      <c r="I252" s="9">
        <v>9.0</v>
      </c>
      <c r="J252" s="9" t="s">
        <v>11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9" t="s">
        <v>938</v>
      </c>
      <c r="B253" s="9" t="s">
        <v>939</v>
      </c>
      <c r="C253" s="9" t="s">
        <v>326</v>
      </c>
      <c r="D253" s="9" t="s">
        <v>576</v>
      </c>
      <c r="E253" s="9">
        <v>1.50601011244E11</v>
      </c>
      <c r="F253" s="9" t="s">
        <v>18</v>
      </c>
      <c r="G253" s="11" t="s">
        <v>574</v>
      </c>
      <c r="H253" s="9" t="s">
        <v>43</v>
      </c>
      <c r="I253" s="9">
        <v>10.0</v>
      </c>
      <c r="J253" s="9" t="s">
        <v>11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9" t="s">
        <v>940</v>
      </c>
      <c r="B254" s="9" t="s">
        <v>941</v>
      </c>
      <c r="C254" s="9" t="s">
        <v>366</v>
      </c>
      <c r="D254" s="9" t="s">
        <v>576</v>
      </c>
      <c r="E254" s="9">
        <v>1.4052901065E11</v>
      </c>
      <c r="F254" s="9" t="s">
        <v>18</v>
      </c>
      <c r="G254" s="11" t="s">
        <v>574</v>
      </c>
      <c r="H254" s="9" t="s">
        <v>43</v>
      </c>
      <c r="I254" s="9">
        <v>11.0</v>
      </c>
      <c r="J254" s="9" t="s">
        <v>11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9" t="s">
        <v>942</v>
      </c>
      <c r="B255" s="9" t="s">
        <v>943</v>
      </c>
      <c r="C255" s="9" t="s">
        <v>770</v>
      </c>
      <c r="D255" s="9" t="s">
        <v>576</v>
      </c>
      <c r="E255" s="9">
        <v>1.5112401076E11</v>
      </c>
      <c r="F255" s="9" t="s">
        <v>18</v>
      </c>
      <c r="G255" s="11" t="s">
        <v>574</v>
      </c>
      <c r="H255" s="9" t="s">
        <v>43</v>
      </c>
      <c r="I255" s="9">
        <v>12.0</v>
      </c>
      <c r="J255" s="9" t="s">
        <v>11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9" t="s">
        <v>944</v>
      </c>
      <c r="B256" s="9" t="s">
        <v>945</v>
      </c>
      <c r="C256" s="9" t="s">
        <v>380</v>
      </c>
      <c r="D256" s="9" t="s">
        <v>576</v>
      </c>
      <c r="E256" s="9">
        <v>1.50420010138E11</v>
      </c>
      <c r="F256" s="9" t="s">
        <v>18</v>
      </c>
      <c r="G256" s="11" t="s">
        <v>574</v>
      </c>
      <c r="H256" s="9" t="s">
        <v>43</v>
      </c>
      <c r="I256" s="9">
        <v>13.0</v>
      </c>
      <c r="J256" s="9" t="s">
        <v>11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9" t="s">
        <v>946</v>
      </c>
      <c r="B257" s="9" t="s">
        <v>947</v>
      </c>
      <c r="C257" s="9" t="s">
        <v>318</v>
      </c>
      <c r="D257" s="9" t="s">
        <v>576</v>
      </c>
      <c r="E257" s="9">
        <v>1.50301010274E11</v>
      </c>
      <c r="F257" s="9" t="s">
        <v>18</v>
      </c>
      <c r="G257" s="11" t="s">
        <v>574</v>
      </c>
      <c r="H257" s="9" t="s">
        <v>43</v>
      </c>
      <c r="I257" s="9">
        <v>14.0</v>
      </c>
      <c r="J257" s="9" t="s">
        <v>11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9" t="s">
        <v>948</v>
      </c>
      <c r="B258" s="9" t="s">
        <v>949</v>
      </c>
      <c r="C258" s="9" t="s">
        <v>359</v>
      </c>
      <c r="D258" s="9" t="s">
        <v>576</v>
      </c>
      <c r="E258" s="9">
        <v>1.50214010348E11</v>
      </c>
      <c r="F258" s="9" t="s">
        <v>18</v>
      </c>
      <c r="G258" s="11" t="s">
        <v>574</v>
      </c>
      <c r="H258" s="9" t="s">
        <v>43</v>
      </c>
      <c r="I258" s="9">
        <v>15.0</v>
      </c>
      <c r="J258" s="9" t="s">
        <v>11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9" t="s">
        <v>950</v>
      </c>
      <c r="B259" s="9" t="s">
        <v>951</v>
      </c>
      <c r="C259" s="9" t="s">
        <v>359</v>
      </c>
      <c r="D259" s="9" t="s">
        <v>576</v>
      </c>
      <c r="E259" s="9">
        <v>1.50114010914E11</v>
      </c>
      <c r="F259" s="9" t="s">
        <v>18</v>
      </c>
      <c r="G259" s="11" t="s">
        <v>574</v>
      </c>
      <c r="H259" s="9" t="s">
        <v>43</v>
      </c>
      <c r="I259" s="9">
        <v>16.0</v>
      </c>
      <c r="J259" s="9" t="s">
        <v>11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9" t="s">
        <v>952</v>
      </c>
      <c r="B260" s="9" t="s">
        <v>953</v>
      </c>
      <c r="C260" s="9" t="s">
        <v>396</v>
      </c>
      <c r="D260" s="9" t="s">
        <v>576</v>
      </c>
      <c r="E260" s="9">
        <v>1.50316010322E11</v>
      </c>
      <c r="F260" s="9" t="s">
        <v>18</v>
      </c>
      <c r="G260" s="11" t="s">
        <v>574</v>
      </c>
      <c r="H260" s="9" t="s">
        <v>43</v>
      </c>
      <c r="I260" s="9">
        <v>17.0</v>
      </c>
      <c r="J260" s="9" t="s">
        <v>11</v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9" t="s">
        <v>954</v>
      </c>
      <c r="B261" s="9" t="s">
        <v>955</v>
      </c>
      <c r="C261" s="9" t="s">
        <v>370</v>
      </c>
      <c r="D261" s="9" t="s">
        <v>576</v>
      </c>
      <c r="E261" s="9">
        <v>1.50806010122E11</v>
      </c>
      <c r="F261" s="9" t="s">
        <v>18</v>
      </c>
      <c r="G261" s="11" t="s">
        <v>574</v>
      </c>
      <c r="H261" s="9" t="s">
        <v>43</v>
      </c>
      <c r="I261" s="9">
        <v>18.0</v>
      </c>
      <c r="J261" s="9" t="s">
        <v>11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9" t="s">
        <v>956</v>
      </c>
      <c r="B262" s="9" t="s">
        <v>957</v>
      </c>
      <c r="C262" s="9" t="s">
        <v>799</v>
      </c>
      <c r="D262" s="9" t="s">
        <v>576</v>
      </c>
      <c r="E262" s="9">
        <v>1.51017060252E11</v>
      </c>
      <c r="F262" s="9" t="s">
        <v>18</v>
      </c>
      <c r="G262" s="11" t="s">
        <v>574</v>
      </c>
      <c r="H262" s="9" t="s">
        <v>43</v>
      </c>
      <c r="I262" s="9">
        <v>19.0</v>
      </c>
      <c r="J262" s="9" t="s">
        <v>11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9" t="s">
        <v>958</v>
      </c>
      <c r="B263" s="9" t="s">
        <v>959</v>
      </c>
      <c r="C263" s="9" t="s">
        <v>808</v>
      </c>
      <c r="D263" s="9" t="s">
        <v>576</v>
      </c>
      <c r="E263" s="9">
        <v>1.50228102294E11</v>
      </c>
      <c r="F263" s="9" t="s">
        <v>18</v>
      </c>
      <c r="G263" s="11" t="s">
        <v>574</v>
      </c>
      <c r="H263" s="9" t="s">
        <v>43</v>
      </c>
      <c r="I263" s="9">
        <v>20.0</v>
      </c>
      <c r="J263" s="9" t="s">
        <v>11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9" t="s">
        <v>960</v>
      </c>
      <c r="B264" s="9" t="s">
        <v>961</v>
      </c>
      <c r="C264" s="9" t="s">
        <v>808</v>
      </c>
      <c r="D264" s="9" t="s">
        <v>576</v>
      </c>
      <c r="E264" s="9">
        <v>1.50325011896E11</v>
      </c>
      <c r="F264" s="9" t="s">
        <v>18</v>
      </c>
      <c r="G264" s="11" t="s">
        <v>574</v>
      </c>
      <c r="H264" s="9" t="s">
        <v>43</v>
      </c>
      <c r="I264" s="9">
        <v>21.0</v>
      </c>
      <c r="J264" s="9" t="s">
        <v>11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9" t="s">
        <v>962</v>
      </c>
      <c r="B265" s="9" t="s">
        <v>963</v>
      </c>
      <c r="C265" s="9" t="s">
        <v>667</v>
      </c>
      <c r="D265" s="9" t="s">
        <v>576</v>
      </c>
      <c r="E265" s="9">
        <v>1.51217010962E11</v>
      </c>
      <c r="F265" s="9" t="s">
        <v>18</v>
      </c>
      <c r="G265" s="11" t="s">
        <v>574</v>
      </c>
      <c r="H265" s="9" t="s">
        <v>143</v>
      </c>
      <c r="I265" s="9">
        <v>1.0</v>
      </c>
      <c r="J265" s="9" t="s">
        <v>38</v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9" t="s">
        <v>964</v>
      </c>
      <c r="B266" s="9" t="s">
        <v>965</v>
      </c>
      <c r="C266" s="9" t="s">
        <v>817</v>
      </c>
      <c r="D266" s="9" t="s">
        <v>576</v>
      </c>
      <c r="E266" s="9">
        <v>1.5030708023E11</v>
      </c>
      <c r="F266" s="9" t="s">
        <v>18</v>
      </c>
      <c r="G266" s="11" t="s">
        <v>574</v>
      </c>
      <c r="H266" s="9" t="s">
        <v>143</v>
      </c>
      <c r="I266" s="9">
        <v>2.0</v>
      </c>
      <c r="J266" s="9" t="s">
        <v>38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9" t="s">
        <v>966</v>
      </c>
      <c r="B267" s="9" t="s">
        <v>967</v>
      </c>
      <c r="C267" s="9" t="s">
        <v>733</v>
      </c>
      <c r="D267" s="9" t="s">
        <v>576</v>
      </c>
      <c r="E267" s="9">
        <v>1.50928011182E11</v>
      </c>
      <c r="F267" s="9" t="s">
        <v>18</v>
      </c>
      <c r="G267" s="11" t="s">
        <v>574</v>
      </c>
      <c r="H267" s="9" t="s">
        <v>143</v>
      </c>
      <c r="I267" s="9">
        <v>3.0</v>
      </c>
      <c r="J267" s="9" t="s">
        <v>38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9" t="s">
        <v>968</v>
      </c>
      <c r="B268" s="9" t="s">
        <v>969</v>
      </c>
      <c r="C268" s="9" t="s">
        <v>925</v>
      </c>
      <c r="D268" s="9" t="s">
        <v>576</v>
      </c>
      <c r="E268" s="9">
        <v>1.50108010678E11</v>
      </c>
      <c r="F268" s="9" t="s">
        <v>18</v>
      </c>
      <c r="G268" s="11" t="s">
        <v>574</v>
      </c>
      <c r="H268" s="9" t="s">
        <v>143</v>
      </c>
      <c r="I268" s="9">
        <v>4.0</v>
      </c>
      <c r="J268" s="9" t="s">
        <v>38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9" t="s">
        <v>970</v>
      </c>
      <c r="B269" s="9" t="s">
        <v>971</v>
      </c>
      <c r="C269" s="9" t="s">
        <v>929</v>
      </c>
      <c r="D269" s="9" t="s">
        <v>576</v>
      </c>
      <c r="E269" s="9">
        <v>1.51220011288E11</v>
      </c>
      <c r="F269" s="9" t="s">
        <v>18</v>
      </c>
      <c r="G269" s="11" t="s">
        <v>574</v>
      </c>
      <c r="H269" s="9" t="s">
        <v>143</v>
      </c>
      <c r="I269" s="9">
        <v>5.0</v>
      </c>
      <c r="J269" s="9" t="s">
        <v>11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9" t="s">
        <v>972</v>
      </c>
      <c r="B270" s="9" t="s">
        <v>973</v>
      </c>
      <c r="C270" s="9" t="s">
        <v>739</v>
      </c>
      <c r="D270" s="9" t="s">
        <v>576</v>
      </c>
      <c r="E270" s="9">
        <v>1.5041701011E11</v>
      </c>
      <c r="F270" s="9" t="s">
        <v>18</v>
      </c>
      <c r="G270" s="11" t="s">
        <v>574</v>
      </c>
      <c r="H270" s="9" t="s">
        <v>143</v>
      </c>
      <c r="I270" s="9">
        <v>6.0</v>
      </c>
      <c r="J270" s="9" t="s">
        <v>11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9" t="s">
        <v>974</v>
      </c>
      <c r="B271" s="9" t="s">
        <v>975</v>
      </c>
      <c r="C271" s="9" t="s">
        <v>745</v>
      </c>
      <c r="D271" s="9" t="s">
        <v>576</v>
      </c>
      <c r="E271" s="9">
        <v>2.20101069234E11</v>
      </c>
      <c r="F271" s="9" t="s">
        <v>18</v>
      </c>
      <c r="G271" s="11" t="s">
        <v>574</v>
      </c>
      <c r="H271" s="9" t="s">
        <v>143</v>
      </c>
      <c r="I271" s="9">
        <v>7.0</v>
      </c>
      <c r="J271" s="9" t="s">
        <v>11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9" t="s">
        <v>976</v>
      </c>
      <c r="B272" s="9" t="s">
        <v>977</v>
      </c>
      <c r="C272" s="9" t="s">
        <v>748</v>
      </c>
      <c r="D272" s="9" t="s">
        <v>576</v>
      </c>
      <c r="E272" s="9">
        <v>1.5051314111E11</v>
      </c>
      <c r="F272" s="9" t="s">
        <v>18</v>
      </c>
      <c r="G272" s="11" t="s">
        <v>574</v>
      </c>
      <c r="H272" s="9" t="s">
        <v>143</v>
      </c>
      <c r="I272" s="9">
        <v>8.0</v>
      </c>
      <c r="J272" s="9" t="s">
        <v>11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9" t="s">
        <v>978</v>
      </c>
      <c r="B273" s="9" t="s">
        <v>979</v>
      </c>
      <c r="C273" s="9" t="s">
        <v>347</v>
      </c>
      <c r="D273" s="9" t="s">
        <v>576</v>
      </c>
      <c r="E273" s="9">
        <v>1.50227011446E11</v>
      </c>
      <c r="F273" s="9" t="s">
        <v>18</v>
      </c>
      <c r="G273" s="11" t="s">
        <v>574</v>
      </c>
      <c r="H273" s="9" t="s">
        <v>143</v>
      </c>
      <c r="I273" s="9">
        <v>9.0</v>
      </c>
      <c r="J273" s="9" t="s">
        <v>11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9" t="s">
        <v>980</v>
      </c>
      <c r="B274" s="9" t="s">
        <v>981</v>
      </c>
      <c r="C274" s="9" t="s">
        <v>366</v>
      </c>
      <c r="D274" s="9" t="s">
        <v>576</v>
      </c>
      <c r="E274" s="9">
        <v>1.40214010058E11</v>
      </c>
      <c r="F274" s="9" t="s">
        <v>18</v>
      </c>
      <c r="G274" s="11" t="s">
        <v>574</v>
      </c>
      <c r="H274" s="9" t="s">
        <v>143</v>
      </c>
      <c r="I274" s="9">
        <v>10.0</v>
      </c>
      <c r="J274" s="9" t="s">
        <v>11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9" t="s">
        <v>982</v>
      </c>
      <c r="B275" s="9" t="s">
        <v>983</v>
      </c>
      <c r="C275" s="9" t="s">
        <v>366</v>
      </c>
      <c r="D275" s="9" t="s">
        <v>576</v>
      </c>
      <c r="E275" s="9">
        <v>1.40924120454E11</v>
      </c>
      <c r="F275" s="9" t="s">
        <v>18</v>
      </c>
      <c r="G275" s="11" t="s">
        <v>574</v>
      </c>
      <c r="H275" s="9" t="s">
        <v>143</v>
      </c>
      <c r="I275" s="9">
        <v>11.0</v>
      </c>
      <c r="J275" s="9" t="s">
        <v>11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9" t="s">
        <v>984</v>
      </c>
      <c r="B276" s="9" t="s">
        <v>985</v>
      </c>
      <c r="C276" s="9" t="s">
        <v>770</v>
      </c>
      <c r="D276" s="9" t="s">
        <v>576</v>
      </c>
      <c r="E276" s="9">
        <v>1.50906011376E11</v>
      </c>
      <c r="F276" s="9" t="s">
        <v>18</v>
      </c>
      <c r="G276" s="11" t="s">
        <v>574</v>
      </c>
      <c r="H276" s="9" t="s">
        <v>143</v>
      </c>
      <c r="I276" s="9">
        <v>12.0</v>
      </c>
      <c r="J276" s="9" t="s">
        <v>11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9" t="s">
        <v>986</v>
      </c>
      <c r="B277" s="9" t="s">
        <v>987</v>
      </c>
      <c r="C277" s="9" t="s">
        <v>773</v>
      </c>
      <c r="D277" s="9" t="s">
        <v>576</v>
      </c>
      <c r="E277" s="9">
        <v>1.51026102186E11</v>
      </c>
      <c r="F277" s="9" t="s">
        <v>18</v>
      </c>
      <c r="G277" s="11" t="s">
        <v>574</v>
      </c>
      <c r="H277" s="9" t="s">
        <v>143</v>
      </c>
      <c r="I277" s="9">
        <v>13.0</v>
      </c>
      <c r="J277" s="9" t="s">
        <v>38</v>
      </c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9" t="s">
        <v>988</v>
      </c>
      <c r="B278" s="9" t="s">
        <v>989</v>
      </c>
      <c r="C278" s="9" t="s">
        <v>318</v>
      </c>
      <c r="D278" s="9" t="s">
        <v>576</v>
      </c>
      <c r="E278" s="9">
        <v>1.50212010926E11</v>
      </c>
      <c r="F278" s="9" t="s">
        <v>18</v>
      </c>
      <c r="G278" s="11" t="s">
        <v>574</v>
      </c>
      <c r="H278" s="9" t="s">
        <v>143</v>
      </c>
      <c r="I278" s="9">
        <v>14.0</v>
      </c>
      <c r="J278" s="9" t="s">
        <v>11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9" t="s">
        <v>990</v>
      </c>
      <c r="B279" s="9" t="s">
        <v>991</v>
      </c>
      <c r="C279" s="9" t="s">
        <v>359</v>
      </c>
      <c r="D279" s="9" t="s">
        <v>576</v>
      </c>
      <c r="E279" s="9">
        <v>1.51201010714E11</v>
      </c>
      <c r="F279" s="9" t="s">
        <v>18</v>
      </c>
      <c r="G279" s="11" t="s">
        <v>574</v>
      </c>
      <c r="H279" s="9" t="s">
        <v>143</v>
      </c>
      <c r="I279" s="9">
        <v>15.0</v>
      </c>
      <c r="J279" s="9" t="s">
        <v>11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9" t="s">
        <v>992</v>
      </c>
      <c r="B280" s="9" t="s">
        <v>993</v>
      </c>
      <c r="C280" s="9" t="s">
        <v>373</v>
      </c>
      <c r="D280" s="9" t="s">
        <v>576</v>
      </c>
      <c r="E280" s="9">
        <v>1.51130010396E11</v>
      </c>
      <c r="F280" s="9" t="s">
        <v>18</v>
      </c>
      <c r="G280" s="11" t="s">
        <v>574</v>
      </c>
      <c r="H280" s="9" t="s">
        <v>143</v>
      </c>
      <c r="I280" s="9">
        <v>16.0</v>
      </c>
      <c r="J280" s="9" t="s">
        <v>11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9" t="s">
        <v>994</v>
      </c>
      <c r="B281" s="9" t="s">
        <v>995</v>
      </c>
      <c r="C281" s="9" t="s">
        <v>396</v>
      </c>
      <c r="D281" s="9" t="s">
        <v>576</v>
      </c>
      <c r="E281" s="9">
        <v>1.5022601146E11</v>
      </c>
      <c r="F281" s="9" t="s">
        <v>18</v>
      </c>
      <c r="G281" s="11" t="s">
        <v>574</v>
      </c>
      <c r="H281" s="9" t="s">
        <v>143</v>
      </c>
      <c r="I281" s="9">
        <v>17.0</v>
      </c>
      <c r="J281" s="9" t="s">
        <v>11</v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9" t="s">
        <v>996</v>
      </c>
      <c r="B282" s="9" t="s">
        <v>997</v>
      </c>
      <c r="C282" s="9" t="s">
        <v>796</v>
      </c>
      <c r="D282" s="9" t="s">
        <v>576</v>
      </c>
      <c r="E282" s="9">
        <v>1.4053001165E11</v>
      </c>
      <c r="F282" s="9" t="s">
        <v>18</v>
      </c>
      <c r="G282" s="11" t="s">
        <v>574</v>
      </c>
      <c r="H282" s="9" t="s">
        <v>143</v>
      </c>
      <c r="I282" s="9">
        <v>18.0</v>
      </c>
      <c r="J282" s="9" t="s">
        <v>11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9" t="s">
        <v>998</v>
      </c>
      <c r="B283" s="9" t="s">
        <v>999</v>
      </c>
      <c r="C283" s="9" t="s">
        <v>799</v>
      </c>
      <c r="D283" s="9" t="s">
        <v>576</v>
      </c>
      <c r="E283" s="9">
        <v>1.50617010182E11</v>
      </c>
      <c r="F283" s="9" t="s">
        <v>18</v>
      </c>
      <c r="G283" s="11" t="s">
        <v>574</v>
      </c>
      <c r="H283" s="9" t="s">
        <v>143</v>
      </c>
      <c r="I283" s="9">
        <v>19.0</v>
      </c>
      <c r="J283" s="9" t="s">
        <v>11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9" t="s">
        <v>1000</v>
      </c>
      <c r="B284" s="9" t="s">
        <v>1001</v>
      </c>
      <c r="C284" s="9" t="s">
        <v>808</v>
      </c>
      <c r="D284" s="9" t="s">
        <v>576</v>
      </c>
      <c r="E284" s="9">
        <v>1.5020901137E11</v>
      </c>
      <c r="F284" s="9" t="s">
        <v>18</v>
      </c>
      <c r="G284" s="11" t="s">
        <v>574</v>
      </c>
      <c r="H284" s="9" t="s">
        <v>143</v>
      </c>
      <c r="I284" s="9">
        <v>20.0</v>
      </c>
      <c r="J284" s="9" t="s">
        <v>11</v>
      </c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9" t="s">
        <v>1002</v>
      </c>
      <c r="B285" s="9" t="s">
        <v>1003</v>
      </c>
      <c r="C285" s="9" t="s">
        <v>808</v>
      </c>
      <c r="D285" s="9" t="s">
        <v>576</v>
      </c>
      <c r="E285" s="9">
        <v>1.51215011814E11</v>
      </c>
      <c r="F285" s="9" t="s">
        <v>18</v>
      </c>
      <c r="G285" s="11" t="s">
        <v>574</v>
      </c>
      <c r="H285" s="9" t="s">
        <v>143</v>
      </c>
      <c r="I285" s="9">
        <v>21.0</v>
      </c>
      <c r="J285" s="9" t="s">
        <v>11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9" t="s">
        <v>1004</v>
      </c>
      <c r="B286" s="9" t="s">
        <v>1005</v>
      </c>
      <c r="C286" s="9" t="s">
        <v>715</v>
      </c>
      <c r="D286" s="9" t="s">
        <v>576</v>
      </c>
      <c r="E286" s="9">
        <v>1.50710050322E11</v>
      </c>
      <c r="F286" s="9" t="s">
        <v>18</v>
      </c>
      <c r="G286" s="11" t="s">
        <v>574</v>
      </c>
      <c r="H286" s="9" t="s">
        <v>175</v>
      </c>
      <c r="I286" s="9">
        <v>1.0</v>
      </c>
      <c r="J286" s="9" t="s">
        <v>38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9" t="s">
        <v>1006</v>
      </c>
      <c r="B287" s="9" t="s">
        <v>1007</v>
      </c>
      <c r="C287" s="9" t="s">
        <v>817</v>
      </c>
      <c r="D287" s="9" t="s">
        <v>576</v>
      </c>
      <c r="E287" s="9">
        <v>1.5091301155E11</v>
      </c>
      <c r="F287" s="9" t="s">
        <v>18</v>
      </c>
      <c r="G287" s="11" t="s">
        <v>574</v>
      </c>
      <c r="H287" s="9" t="s">
        <v>175</v>
      </c>
      <c r="I287" s="9">
        <v>2.0</v>
      </c>
      <c r="J287" s="9" t="s">
        <v>38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9" t="s">
        <v>1008</v>
      </c>
      <c r="B288" s="9" t="s">
        <v>1009</v>
      </c>
      <c r="C288" s="9" t="s">
        <v>925</v>
      </c>
      <c r="D288" s="9" t="s">
        <v>576</v>
      </c>
      <c r="E288" s="9">
        <v>1.50302100634E11</v>
      </c>
      <c r="F288" s="9" t="s">
        <v>18</v>
      </c>
      <c r="G288" s="11" t="s">
        <v>574</v>
      </c>
      <c r="H288" s="9" t="s">
        <v>175</v>
      </c>
      <c r="I288" s="9">
        <v>3.0</v>
      </c>
      <c r="J288" s="9" t="s">
        <v>11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9" t="s">
        <v>1010</v>
      </c>
      <c r="B289" s="9" t="s">
        <v>1011</v>
      </c>
      <c r="C289" s="9" t="s">
        <v>925</v>
      </c>
      <c r="D289" s="9" t="s">
        <v>576</v>
      </c>
      <c r="E289" s="9">
        <v>1.50621010724E11</v>
      </c>
      <c r="F289" s="9" t="s">
        <v>18</v>
      </c>
      <c r="G289" s="11" t="s">
        <v>574</v>
      </c>
      <c r="H289" s="9" t="s">
        <v>175</v>
      </c>
      <c r="I289" s="9">
        <v>4.0</v>
      </c>
      <c r="J289" s="9" t="s">
        <v>11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9" t="s">
        <v>1012</v>
      </c>
      <c r="B290" s="9" t="s">
        <v>1013</v>
      </c>
      <c r="C290" s="9" t="s">
        <v>929</v>
      </c>
      <c r="D290" s="9" t="s">
        <v>576</v>
      </c>
      <c r="E290" s="9">
        <v>1.40223011204E11</v>
      </c>
      <c r="F290" s="9" t="s">
        <v>18</v>
      </c>
      <c r="G290" s="11" t="s">
        <v>574</v>
      </c>
      <c r="H290" s="9" t="s">
        <v>175</v>
      </c>
      <c r="I290" s="9">
        <v>5.0</v>
      </c>
      <c r="J290" s="9" t="s">
        <v>11</v>
      </c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9" t="s">
        <v>1014</v>
      </c>
      <c r="B291" s="9" t="s">
        <v>1015</v>
      </c>
      <c r="C291" s="9" t="s">
        <v>739</v>
      </c>
      <c r="D291" s="9" t="s">
        <v>576</v>
      </c>
      <c r="E291" s="9">
        <v>1.5022701032E11</v>
      </c>
      <c r="F291" s="9" t="s">
        <v>18</v>
      </c>
      <c r="G291" s="11" t="s">
        <v>574</v>
      </c>
      <c r="H291" s="9" t="s">
        <v>175</v>
      </c>
      <c r="I291" s="9">
        <v>6.0</v>
      </c>
      <c r="J291" s="9" t="s">
        <v>11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9" t="s">
        <v>1016</v>
      </c>
      <c r="B292" s="9" t="s">
        <v>1017</v>
      </c>
      <c r="C292" s="9" t="s">
        <v>411</v>
      </c>
      <c r="D292" s="9" t="s">
        <v>576</v>
      </c>
      <c r="E292" s="9">
        <v>1.50415011048E11</v>
      </c>
      <c r="F292" s="9" t="s">
        <v>18</v>
      </c>
      <c r="G292" s="11" t="s">
        <v>574</v>
      </c>
      <c r="H292" s="9" t="s">
        <v>175</v>
      </c>
      <c r="I292" s="9">
        <v>7.0</v>
      </c>
      <c r="J292" s="9" t="s">
        <v>11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9" t="s">
        <v>1018</v>
      </c>
      <c r="B293" s="9" t="s">
        <v>1019</v>
      </c>
      <c r="C293" s="9" t="s">
        <v>748</v>
      </c>
      <c r="D293" s="9" t="s">
        <v>576</v>
      </c>
      <c r="E293" s="9">
        <v>1.50406010676E11</v>
      </c>
      <c r="F293" s="9" t="s">
        <v>18</v>
      </c>
      <c r="G293" s="11" t="s">
        <v>574</v>
      </c>
      <c r="H293" s="9" t="s">
        <v>175</v>
      </c>
      <c r="I293" s="9">
        <v>8.0</v>
      </c>
      <c r="J293" s="9" t="s">
        <v>11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9" t="s">
        <v>1020</v>
      </c>
      <c r="B294" s="9" t="s">
        <v>1021</v>
      </c>
      <c r="C294" s="9" t="s">
        <v>347</v>
      </c>
      <c r="D294" s="9" t="s">
        <v>576</v>
      </c>
      <c r="E294" s="9">
        <v>1.50902060736E11</v>
      </c>
      <c r="F294" s="9" t="s">
        <v>18</v>
      </c>
      <c r="G294" s="11" t="s">
        <v>574</v>
      </c>
      <c r="H294" s="9" t="s">
        <v>175</v>
      </c>
      <c r="I294" s="9">
        <v>9.0</v>
      </c>
      <c r="J294" s="9" t="s">
        <v>11</v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9" t="s">
        <v>1022</v>
      </c>
      <c r="B295" s="9" t="s">
        <v>1023</v>
      </c>
      <c r="C295" s="9" t="s">
        <v>366</v>
      </c>
      <c r="D295" s="9" t="s">
        <v>576</v>
      </c>
      <c r="E295" s="9">
        <v>1.406240108E11</v>
      </c>
      <c r="F295" s="9" t="s">
        <v>18</v>
      </c>
      <c r="G295" s="11" t="s">
        <v>574</v>
      </c>
      <c r="H295" s="9" t="s">
        <v>175</v>
      </c>
      <c r="I295" s="9">
        <v>10.0</v>
      </c>
      <c r="J295" s="9" t="s">
        <v>11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9" t="s">
        <v>1024</v>
      </c>
      <c r="B296" s="9" t="s">
        <v>1025</v>
      </c>
      <c r="C296" s="9" t="s">
        <v>767</v>
      </c>
      <c r="D296" s="9" t="s">
        <v>576</v>
      </c>
      <c r="E296" s="9">
        <v>1.51030010014E11</v>
      </c>
      <c r="F296" s="9" t="s">
        <v>18</v>
      </c>
      <c r="G296" s="11" t="s">
        <v>574</v>
      </c>
      <c r="H296" s="9" t="s">
        <v>175</v>
      </c>
      <c r="I296" s="9">
        <v>11.0</v>
      </c>
      <c r="J296" s="9" t="s">
        <v>11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9" t="s">
        <v>1026</v>
      </c>
      <c r="B297" s="9" t="s">
        <v>1027</v>
      </c>
      <c r="C297" s="9" t="s">
        <v>380</v>
      </c>
      <c r="D297" s="9" t="s">
        <v>576</v>
      </c>
      <c r="E297" s="9">
        <v>1.50619010266E11</v>
      </c>
      <c r="F297" s="9" t="s">
        <v>18</v>
      </c>
      <c r="G297" s="11" t="s">
        <v>574</v>
      </c>
      <c r="H297" s="9" t="s">
        <v>175</v>
      </c>
      <c r="I297" s="9">
        <v>12.0</v>
      </c>
      <c r="J297" s="9" t="s">
        <v>11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9" t="s">
        <v>1028</v>
      </c>
      <c r="B298" s="9" t="s">
        <v>1029</v>
      </c>
      <c r="C298" s="9" t="s">
        <v>773</v>
      </c>
      <c r="D298" s="9" t="s">
        <v>576</v>
      </c>
      <c r="E298" s="9">
        <v>1.507150101E11</v>
      </c>
      <c r="F298" s="9" t="s">
        <v>18</v>
      </c>
      <c r="G298" s="11" t="s">
        <v>574</v>
      </c>
      <c r="H298" s="9" t="s">
        <v>175</v>
      </c>
      <c r="I298" s="9">
        <v>13.0</v>
      </c>
      <c r="J298" s="9" t="s">
        <v>38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9" t="s">
        <v>1030</v>
      </c>
      <c r="B299" s="9" t="s">
        <v>1031</v>
      </c>
      <c r="C299" s="9" t="s">
        <v>359</v>
      </c>
      <c r="D299" s="9" t="s">
        <v>576</v>
      </c>
      <c r="E299" s="9">
        <v>1.50320080622E11</v>
      </c>
      <c r="F299" s="9" t="s">
        <v>18</v>
      </c>
      <c r="G299" s="11" t="s">
        <v>574</v>
      </c>
      <c r="H299" s="9" t="s">
        <v>175</v>
      </c>
      <c r="I299" s="9">
        <v>14.0</v>
      </c>
      <c r="J299" s="9" t="s">
        <v>11</v>
      </c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9" t="s">
        <v>1032</v>
      </c>
      <c r="B300" s="9" t="s">
        <v>1033</v>
      </c>
      <c r="C300" s="9" t="s">
        <v>359</v>
      </c>
      <c r="D300" s="9" t="s">
        <v>576</v>
      </c>
      <c r="E300" s="9">
        <v>1.50406030976E11</v>
      </c>
      <c r="F300" s="9" t="s">
        <v>18</v>
      </c>
      <c r="G300" s="11" t="s">
        <v>574</v>
      </c>
      <c r="H300" s="9" t="s">
        <v>175</v>
      </c>
      <c r="I300" s="9">
        <v>15.0</v>
      </c>
      <c r="J300" s="9" t="s">
        <v>11</v>
      </c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9" t="s">
        <v>1034</v>
      </c>
      <c r="B301" s="9" t="s">
        <v>1035</v>
      </c>
      <c r="C301" s="9" t="s">
        <v>373</v>
      </c>
      <c r="D301" s="9" t="s">
        <v>576</v>
      </c>
      <c r="E301" s="9">
        <v>1.50304030334E11</v>
      </c>
      <c r="F301" s="9" t="s">
        <v>18</v>
      </c>
      <c r="G301" s="11" t="s">
        <v>574</v>
      </c>
      <c r="H301" s="9" t="s">
        <v>175</v>
      </c>
      <c r="I301" s="9">
        <v>16.0</v>
      </c>
      <c r="J301" s="9" t="s">
        <v>11</v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9" t="s">
        <v>1036</v>
      </c>
      <c r="B302" s="9" t="s">
        <v>1037</v>
      </c>
      <c r="C302" s="9" t="s">
        <v>370</v>
      </c>
      <c r="D302" s="9" t="s">
        <v>576</v>
      </c>
      <c r="E302" s="9">
        <v>1.50531110094E11</v>
      </c>
      <c r="F302" s="9" t="s">
        <v>18</v>
      </c>
      <c r="G302" s="11" t="s">
        <v>574</v>
      </c>
      <c r="H302" s="9" t="s">
        <v>175</v>
      </c>
      <c r="I302" s="9">
        <v>17.0</v>
      </c>
      <c r="J302" s="9" t="s">
        <v>11</v>
      </c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9" t="s">
        <v>1038</v>
      </c>
      <c r="B303" s="9" t="s">
        <v>1039</v>
      </c>
      <c r="C303" s="9" t="s">
        <v>796</v>
      </c>
      <c r="D303" s="9" t="s">
        <v>576</v>
      </c>
      <c r="E303" s="9">
        <v>1.40421011328E11</v>
      </c>
      <c r="F303" s="9" t="s">
        <v>18</v>
      </c>
      <c r="G303" s="11" t="s">
        <v>574</v>
      </c>
      <c r="H303" s="9" t="s">
        <v>175</v>
      </c>
      <c r="I303" s="9">
        <v>18.0</v>
      </c>
      <c r="J303" s="9" t="s">
        <v>11</v>
      </c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9" t="s">
        <v>1040</v>
      </c>
      <c r="B304" s="9" t="s">
        <v>1041</v>
      </c>
      <c r="C304" s="9" t="s">
        <v>799</v>
      </c>
      <c r="D304" s="9" t="s">
        <v>576</v>
      </c>
      <c r="E304" s="9">
        <v>1.4111001092E11</v>
      </c>
      <c r="F304" s="9" t="s">
        <v>18</v>
      </c>
      <c r="G304" s="11" t="s">
        <v>574</v>
      </c>
      <c r="H304" s="9" t="s">
        <v>175</v>
      </c>
      <c r="I304" s="9">
        <v>19.0</v>
      </c>
      <c r="J304" s="9" t="s">
        <v>11</v>
      </c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9" t="s">
        <v>1042</v>
      </c>
      <c r="B305" s="9" t="s">
        <v>1043</v>
      </c>
      <c r="C305" s="9" t="s">
        <v>808</v>
      </c>
      <c r="D305" s="9" t="s">
        <v>576</v>
      </c>
      <c r="E305" s="9">
        <v>1.50117010098E11</v>
      </c>
      <c r="F305" s="9" t="s">
        <v>18</v>
      </c>
      <c r="G305" s="11" t="s">
        <v>574</v>
      </c>
      <c r="H305" s="9" t="s">
        <v>175</v>
      </c>
      <c r="I305" s="9">
        <v>20.0</v>
      </c>
      <c r="J305" s="9" t="s">
        <v>11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9" t="s">
        <v>1044</v>
      </c>
      <c r="B306" s="9" t="s">
        <v>1045</v>
      </c>
      <c r="C306" s="9" t="s">
        <v>326</v>
      </c>
      <c r="D306" s="9" t="s">
        <v>576</v>
      </c>
      <c r="E306" s="9">
        <v>1.51205010092E11</v>
      </c>
      <c r="F306" s="9" t="s">
        <v>18</v>
      </c>
      <c r="G306" s="11" t="s">
        <v>574</v>
      </c>
      <c r="H306" s="9" t="s">
        <v>175</v>
      </c>
      <c r="I306" s="9">
        <v>21.0</v>
      </c>
      <c r="J306" s="9" t="s">
        <v>11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32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32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32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32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32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32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32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32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32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32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32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32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32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32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32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32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32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32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32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32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32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32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32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32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32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32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32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32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32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32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32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32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32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32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32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32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32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32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32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32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32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3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32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32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32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32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32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32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3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32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32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32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32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32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32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32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32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32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32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32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32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32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32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32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32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32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32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32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32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32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32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32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32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32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32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32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32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32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32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32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32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32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32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32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32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32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32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32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32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32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32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32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32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32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32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32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32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32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32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32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32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32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32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3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32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32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32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32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32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32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32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32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32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32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32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32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32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32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32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32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32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32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32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32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32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32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32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32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32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32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32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32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32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32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32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32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3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32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32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32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32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32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3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32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32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32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32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32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32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32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32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32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3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32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32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32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3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3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3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32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32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32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32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32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32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32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32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32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32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32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32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32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32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32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32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32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32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32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32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32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32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32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32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32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32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32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32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32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32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32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32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32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32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32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32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32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32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32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32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32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32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32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32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32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32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32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32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32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32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32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32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32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32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32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32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32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32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32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32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32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32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32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32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32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32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32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32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32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32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32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32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32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32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32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32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32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32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32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32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32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32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32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32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32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32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32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32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32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32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32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32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32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32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32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32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32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32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32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32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32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32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32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32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32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32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32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32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32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32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32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32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32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32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32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32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32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32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32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32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32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32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32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32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32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32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32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32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32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32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32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32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32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32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32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32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32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32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32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32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32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32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32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32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32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32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32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32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32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32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32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32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32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32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32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32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32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32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32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32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32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32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32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32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32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32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32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32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32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32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32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32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32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32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32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32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32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32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32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32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32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32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32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32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32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32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32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32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32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32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32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32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32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32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32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32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32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32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32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32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32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32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32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32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32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32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32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32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32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32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32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32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32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32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32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32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32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32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32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32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32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32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32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32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32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32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32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32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32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32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32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32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32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32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32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32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32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32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32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32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32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32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32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32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32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32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32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32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32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32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32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32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32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32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32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32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32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32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32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32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32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32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32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32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32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32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32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32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32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32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32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32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32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32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32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32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32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32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32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32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32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32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32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32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32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32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32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32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32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32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32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32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32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32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32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32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32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32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32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32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32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32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32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32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32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32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32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32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32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32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32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32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32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32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32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32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32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32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32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32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32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32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32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32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32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32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32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32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32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32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32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32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32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32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32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32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32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32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32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32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32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32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32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32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32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32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32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32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32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32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32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32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32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32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32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32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32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32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32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32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32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32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32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32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32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32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32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32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32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32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32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32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32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32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32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32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32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32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32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32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32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32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32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32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32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32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32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32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32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32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32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32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32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32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32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32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32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32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32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32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32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32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32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32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32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32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32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32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32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32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32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32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32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32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32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32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32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32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32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32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32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32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32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32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32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32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32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32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32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32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32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32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32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32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32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32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32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32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32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32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32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32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32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32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32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32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32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32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32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32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32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32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32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32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32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32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32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32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32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32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32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32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32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32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32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32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C932" s="8"/>
      <c r="D932" s="8"/>
      <c r="E932" s="8"/>
      <c r="F932" s="8"/>
      <c r="G932" s="33"/>
      <c r="H932" s="8"/>
      <c r="I932" s="8"/>
      <c r="J932" s="8"/>
    </row>
    <row r="933">
      <c r="C933" s="8"/>
      <c r="D933" s="8"/>
      <c r="E933" s="8"/>
      <c r="F933" s="8"/>
      <c r="G933" s="33"/>
      <c r="H933" s="8"/>
      <c r="I933" s="8"/>
      <c r="J933" s="8"/>
    </row>
    <row r="934">
      <c r="C934" s="8"/>
      <c r="D934" s="8"/>
      <c r="E934" s="8"/>
      <c r="F934" s="8"/>
      <c r="G934" s="33"/>
      <c r="H934" s="8"/>
      <c r="I934" s="8"/>
      <c r="J934" s="8"/>
    </row>
    <row r="935">
      <c r="C935" s="8"/>
      <c r="D935" s="8"/>
      <c r="E935" s="8"/>
      <c r="F935" s="8"/>
      <c r="G935" s="33"/>
      <c r="H935" s="8"/>
      <c r="I935" s="8"/>
      <c r="J935" s="8"/>
    </row>
    <row r="936">
      <c r="C936" s="8"/>
      <c r="D936" s="8"/>
      <c r="E936" s="8"/>
      <c r="F936" s="8"/>
      <c r="G936" s="33"/>
      <c r="H936" s="8"/>
      <c r="I936" s="8"/>
      <c r="J936" s="8"/>
    </row>
    <row r="937">
      <c r="C937" s="8"/>
      <c r="D937" s="8"/>
      <c r="E937" s="8"/>
      <c r="F937" s="8"/>
      <c r="G937" s="33"/>
      <c r="H937" s="8"/>
      <c r="I937" s="8"/>
      <c r="J937" s="8"/>
    </row>
    <row r="938">
      <c r="C938" s="8"/>
      <c r="D938" s="8"/>
      <c r="E938" s="8"/>
      <c r="F938" s="8"/>
      <c r="G938" s="33"/>
      <c r="H938" s="8"/>
      <c r="I938" s="8"/>
      <c r="J938" s="8"/>
    </row>
    <row r="939">
      <c r="C939" s="8"/>
      <c r="D939" s="8"/>
      <c r="E939" s="8"/>
      <c r="F939" s="8"/>
      <c r="G939" s="33"/>
      <c r="H939" s="8"/>
      <c r="I939" s="8"/>
      <c r="J939" s="8"/>
    </row>
    <row r="940">
      <c r="C940" s="8"/>
      <c r="D940" s="8"/>
      <c r="E940" s="8"/>
      <c r="F940" s="8"/>
      <c r="G940" s="33"/>
      <c r="H940" s="8"/>
      <c r="I940" s="8"/>
      <c r="J940" s="8"/>
    </row>
    <row r="941">
      <c r="C941" s="8"/>
      <c r="D941" s="8"/>
      <c r="E941" s="8"/>
      <c r="F941" s="8"/>
      <c r="G941" s="33"/>
      <c r="H941" s="8"/>
      <c r="I941" s="8"/>
      <c r="J941" s="8"/>
    </row>
    <row r="942">
      <c r="C942" s="8"/>
      <c r="D942" s="8"/>
      <c r="E942" s="8"/>
      <c r="F942" s="8"/>
      <c r="G942" s="33"/>
      <c r="H942" s="8"/>
      <c r="I942" s="8"/>
      <c r="J942" s="8"/>
    </row>
    <row r="943">
      <c r="C943" s="8"/>
      <c r="D943" s="8"/>
      <c r="E943" s="8"/>
      <c r="F943" s="8"/>
      <c r="G943" s="33"/>
      <c r="H943" s="8"/>
      <c r="I943" s="8"/>
      <c r="J943" s="8"/>
    </row>
    <row r="944">
      <c r="C944" s="8"/>
      <c r="D944" s="8"/>
      <c r="E944" s="8"/>
      <c r="F944" s="8"/>
      <c r="G944" s="33"/>
      <c r="H944" s="8"/>
      <c r="I944" s="8"/>
      <c r="J944" s="8"/>
    </row>
    <row r="945">
      <c r="C945" s="8"/>
      <c r="D945" s="8"/>
      <c r="E945" s="8"/>
      <c r="F945" s="8"/>
      <c r="G945" s="33"/>
      <c r="H945" s="8"/>
      <c r="I945" s="8"/>
      <c r="J945" s="8"/>
    </row>
    <row r="946">
      <c r="C946" s="8"/>
      <c r="D946" s="8"/>
      <c r="E946" s="8"/>
      <c r="F946" s="8"/>
      <c r="G946" s="33"/>
      <c r="H946" s="8"/>
      <c r="I946" s="8"/>
      <c r="J946" s="8"/>
    </row>
    <row r="947">
      <c r="C947" s="8"/>
      <c r="D947" s="8"/>
      <c r="E947" s="8"/>
      <c r="F947" s="8"/>
      <c r="G947" s="33"/>
      <c r="H947" s="8"/>
      <c r="I947" s="8"/>
      <c r="J947" s="8"/>
    </row>
    <row r="948">
      <c r="C948" s="8"/>
      <c r="D948" s="8"/>
      <c r="E948" s="8"/>
      <c r="F948" s="8"/>
      <c r="G948" s="33"/>
      <c r="H948" s="8"/>
      <c r="I948" s="8"/>
      <c r="J948" s="8"/>
    </row>
    <row r="949">
      <c r="C949" s="8"/>
      <c r="D949" s="8"/>
      <c r="E949" s="8"/>
      <c r="F949" s="8"/>
      <c r="G949" s="33"/>
      <c r="H949" s="8"/>
      <c r="I949" s="8"/>
      <c r="J949" s="8"/>
    </row>
    <row r="950">
      <c r="C950" s="8"/>
      <c r="D950" s="8"/>
      <c r="E950" s="8"/>
      <c r="F950" s="8"/>
      <c r="G950" s="33"/>
      <c r="H950" s="8"/>
      <c r="I950" s="8"/>
      <c r="J950" s="8"/>
    </row>
    <row r="951">
      <c r="C951" s="8"/>
      <c r="D951" s="8"/>
      <c r="E951" s="8"/>
      <c r="F951" s="8"/>
      <c r="G951" s="33"/>
      <c r="H951" s="8"/>
      <c r="I951" s="8"/>
      <c r="J951" s="8"/>
    </row>
    <row r="952">
      <c r="C952" s="8"/>
      <c r="D952" s="8"/>
      <c r="E952" s="8"/>
      <c r="F952" s="8"/>
      <c r="G952" s="33"/>
      <c r="H952" s="8"/>
      <c r="I952" s="8"/>
      <c r="J952" s="8"/>
    </row>
    <row r="953">
      <c r="C953" s="8"/>
      <c r="D953" s="8"/>
      <c r="E953" s="8"/>
      <c r="F953" s="8"/>
      <c r="G953" s="33"/>
      <c r="H953" s="8"/>
      <c r="I953" s="8"/>
      <c r="J953" s="8"/>
    </row>
    <row r="954">
      <c r="C954" s="8"/>
      <c r="D954" s="8"/>
      <c r="E954" s="8"/>
      <c r="F954" s="8"/>
      <c r="G954" s="33"/>
      <c r="H954" s="8"/>
      <c r="I954" s="8"/>
      <c r="J954" s="8"/>
    </row>
    <row r="955">
      <c r="C955" s="8"/>
      <c r="D955" s="8"/>
      <c r="E955" s="8"/>
      <c r="F955" s="8"/>
      <c r="G955" s="33"/>
      <c r="H955" s="8"/>
      <c r="I955" s="8"/>
      <c r="J955" s="8"/>
    </row>
    <row r="956">
      <c r="C956" s="8"/>
      <c r="D956" s="8"/>
      <c r="E956" s="8"/>
      <c r="F956" s="8"/>
      <c r="G956" s="33"/>
      <c r="H956" s="8"/>
      <c r="I956" s="8"/>
      <c r="J956" s="8"/>
    </row>
  </sheetData>
  <autoFilter ref="$A$1:$AA$95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28.25"/>
    <col customWidth="1" min="5" max="5" width="13.25"/>
    <col customWidth="1" min="6" max="6" width="10.75"/>
    <col customWidth="1" min="7" max="7" width="17.0"/>
    <col customWidth="1" min="8" max="8" width="19.75"/>
    <col customWidth="1" min="9" max="9" width="13.88"/>
    <col customWidth="1" min="10" max="10" width="12.25"/>
  </cols>
  <sheetData>
    <row r="1">
      <c r="A1" s="1" t="s">
        <v>0</v>
      </c>
      <c r="B1" s="1" t="s">
        <v>1</v>
      </c>
      <c r="C1" s="3" t="s">
        <v>2</v>
      </c>
      <c r="D1" s="3" t="s">
        <v>5</v>
      </c>
      <c r="E1" s="3" t="s">
        <v>8</v>
      </c>
      <c r="F1" s="3" t="s">
        <v>3</v>
      </c>
      <c r="G1" s="3" t="s">
        <v>12</v>
      </c>
      <c r="H1" s="3" t="s">
        <v>15</v>
      </c>
      <c r="I1" s="3" t="s">
        <v>17</v>
      </c>
      <c r="J1" s="3" t="s">
        <v>4</v>
      </c>
    </row>
    <row r="2">
      <c r="A2" s="6" t="s">
        <v>22</v>
      </c>
      <c r="B2" s="6" t="s">
        <v>32</v>
      </c>
      <c r="C2" s="3" t="s">
        <v>9</v>
      </c>
      <c r="D2" s="3" t="s">
        <v>34</v>
      </c>
      <c r="E2" s="8" t="s">
        <v>37</v>
      </c>
      <c r="F2" s="3" t="s">
        <v>10</v>
      </c>
      <c r="G2" s="3" t="s">
        <v>42</v>
      </c>
      <c r="H2" s="3" t="s">
        <v>43</v>
      </c>
      <c r="I2" s="3">
        <v>12.0</v>
      </c>
      <c r="J2" s="3" t="s">
        <v>11</v>
      </c>
      <c r="K2" s="12" t="str">
        <f t="shared" ref="K2:K31" si="1">VLOOKUP(A2,Sheet15!$A$2:$D793,2,FALSE)</f>
        <v>#REF!</v>
      </c>
    </row>
    <row r="3">
      <c r="A3" s="1" t="s">
        <v>106</v>
      </c>
      <c r="B3" s="1" t="s">
        <v>107</v>
      </c>
      <c r="C3" s="3" t="s">
        <v>9</v>
      </c>
      <c r="D3" s="3" t="s">
        <v>34</v>
      </c>
      <c r="E3" s="8" t="s">
        <v>37</v>
      </c>
      <c r="F3" s="3" t="s">
        <v>10</v>
      </c>
      <c r="G3" s="3" t="s">
        <v>42</v>
      </c>
      <c r="H3" s="3" t="s">
        <v>43</v>
      </c>
      <c r="I3" s="3">
        <v>1.0</v>
      </c>
      <c r="J3" s="3" t="s">
        <v>38</v>
      </c>
      <c r="K3" s="12" t="str">
        <f t="shared" si="1"/>
        <v>#REF!</v>
      </c>
    </row>
    <row r="4">
      <c r="A4" s="1" t="s">
        <v>116</v>
      </c>
      <c r="B4" s="1" t="s">
        <v>118</v>
      </c>
      <c r="C4" s="3" t="s">
        <v>9</v>
      </c>
      <c r="D4" s="3" t="s">
        <v>34</v>
      </c>
      <c r="E4" s="8" t="s">
        <v>120</v>
      </c>
      <c r="F4" s="3" t="s">
        <v>10</v>
      </c>
      <c r="G4" s="3" t="s">
        <v>42</v>
      </c>
      <c r="H4" s="3" t="s">
        <v>43</v>
      </c>
      <c r="I4" s="3">
        <v>2.0</v>
      </c>
      <c r="J4" s="3" t="s">
        <v>38</v>
      </c>
      <c r="K4" s="12" t="str">
        <f t="shared" si="1"/>
        <v>#REF!</v>
      </c>
    </row>
    <row r="5">
      <c r="A5" s="1" t="s">
        <v>126</v>
      </c>
      <c r="B5" s="1" t="s">
        <v>128</v>
      </c>
      <c r="C5" s="3" t="s">
        <v>9</v>
      </c>
      <c r="D5" s="3" t="s">
        <v>34</v>
      </c>
      <c r="E5" s="8" t="s">
        <v>120</v>
      </c>
      <c r="F5" s="3" t="s">
        <v>10</v>
      </c>
      <c r="G5" s="3" t="s">
        <v>42</v>
      </c>
      <c r="H5" s="3" t="s">
        <v>43</v>
      </c>
      <c r="I5" s="3">
        <v>5.0</v>
      </c>
      <c r="J5" s="3" t="s">
        <v>11</v>
      </c>
      <c r="K5" s="12" t="str">
        <f t="shared" si="1"/>
        <v>#REF!</v>
      </c>
    </row>
    <row r="6">
      <c r="A6" s="1" t="s">
        <v>136</v>
      </c>
      <c r="B6" s="1" t="s">
        <v>138</v>
      </c>
      <c r="C6" s="3" t="s">
        <v>9</v>
      </c>
      <c r="D6" s="3" t="s">
        <v>141</v>
      </c>
      <c r="E6" s="8" t="s">
        <v>37</v>
      </c>
      <c r="F6" s="3" t="s">
        <v>10</v>
      </c>
      <c r="G6" s="3" t="s">
        <v>42</v>
      </c>
      <c r="H6" s="3" t="s">
        <v>143</v>
      </c>
      <c r="I6" s="3">
        <v>3.0</v>
      </c>
      <c r="J6" s="3" t="s">
        <v>11</v>
      </c>
      <c r="K6" s="12" t="str">
        <f t="shared" si="1"/>
        <v>#REF!</v>
      </c>
    </row>
    <row r="7">
      <c r="A7" s="1" t="s">
        <v>148</v>
      </c>
      <c r="B7" s="1" t="s">
        <v>150</v>
      </c>
      <c r="C7" s="3" t="s">
        <v>9</v>
      </c>
      <c r="D7" s="3" t="s">
        <v>141</v>
      </c>
      <c r="E7" s="8" t="s">
        <v>37</v>
      </c>
      <c r="F7" s="3" t="s">
        <v>10</v>
      </c>
      <c r="G7" s="3" t="s">
        <v>42</v>
      </c>
      <c r="H7" s="3" t="s">
        <v>143</v>
      </c>
      <c r="I7" s="3">
        <v>4.0</v>
      </c>
      <c r="J7" s="3" t="s">
        <v>38</v>
      </c>
      <c r="K7" s="12" t="str">
        <f t="shared" si="1"/>
        <v>#REF!</v>
      </c>
    </row>
    <row r="8">
      <c r="A8" s="6" t="s">
        <v>155</v>
      </c>
      <c r="B8" s="6" t="s">
        <v>157</v>
      </c>
      <c r="C8" s="3" t="s">
        <v>9</v>
      </c>
      <c r="D8" s="3" t="s">
        <v>141</v>
      </c>
      <c r="E8" s="8" t="s">
        <v>161</v>
      </c>
      <c r="F8" s="3" t="s">
        <v>10</v>
      </c>
      <c r="G8" s="3" t="s">
        <v>42</v>
      </c>
      <c r="H8" s="3" t="s">
        <v>143</v>
      </c>
      <c r="I8" s="3">
        <v>6.0</v>
      </c>
      <c r="J8" s="3" t="s">
        <v>11</v>
      </c>
      <c r="K8" s="12" t="str">
        <f t="shared" si="1"/>
        <v>#REF!</v>
      </c>
    </row>
    <row r="9">
      <c r="A9" s="1" t="s">
        <v>167</v>
      </c>
      <c r="B9" s="1" t="s">
        <v>168</v>
      </c>
      <c r="C9" s="3" t="s">
        <v>9</v>
      </c>
      <c r="D9" s="3" t="s">
        <v>141</v>
      </c>
      <c r="E9" s="8" t="e">
        <v>#N/A</v>
      </c>
      <c r="F9" s="3" t="s">
        <v>10</v>
      </c>
      <c r="G9" s="3" t="s">
        <v>42</v>
      </c>
      <c r="H9" s="3" t="s">
        <v>175</v>
      </c>
      <c r="I9" s="3">
        <v>2.0</v>
      </c>
      <c r="J9" s="3" t="s">
        <v>11</v>
      </c>
      <c r="K9" s="12" t="str">
        <f t="shared" si="1"/>
        <v>#REF!</v>
      </c>
    </row>
    <row r="10">
      <c r="A10" s="1" t="s">
        <v>178</v>
      </c>
      <c r="B10" s="1" t="s">
        <v>179</v>
      </c>
      <c r="C10" s="3" t="s">
        <v>9</v>
      </c>
      <c r="D10" s="3" t="s">
        <v>182</v>
      </c>
      <c r="E10" s="8" t="e">
        <v>#N/A</v>
      </c>
      <c r="F10" s="3" t="s">
        <v>10</v>
      </c>
      <c r="G10" s="3" t="s">
        <v>42</v>
      </c>
      <c r="H10" s="3" t="s">
        <v>175</v>
      </c>
      <c r="I10" s="3">
        <v>5.0</v>
      </c>
      <c r="J10" s="3" t="s">
        <v>38</v>
      </c>
      <c r="K10" s="12" t="str">
        <f t="shared" si="1"/>
        <v>#REF!</v>
      </c>
    </row>
    <row r="11">
      <c r="A11" s="6" t="s">
        <v>188</v>
      </c>
      <c r="B11" s="6" t="s">
        <v>189</v>
      </c>
      <c r="C11" s="3" t="s">
        <v>9</v>
      </c>
      <c r="D11" s="3" t="s">
        <v>191</v>
      </c>
      <c r="E11" s="8" t="e">
        <v>#N/A</v>
      </c>
      <c r="F11" s="3" t="s">
        <v>10</v>
      </c>
      <c r="G11" s="3" t="s">
        <v>42</v>
      </c>
      <c r="H11" s="3" t="s">
        <v>143</v>
      </c>
      <c r="I11" s="3">
        <v>14.0</v>
      </c>
      <c r="J11" s="3" t="s">
        <v>11</v>
      </c>
      <c r="K11" s="12" t="str">
        <f t="shared" si="1"/>
        <v>#REF!</v>
      </c>
    </row>
    <row r="12">
      <c r="A12" s="1" t="s">
        <v>196</v>
      </c>
      <c r="B12" s="1" t="s">
        <v>198</v>
      </c>
      <c r="C12" s="3" t="s">
        <v>9</v>
      </c>
      <c r="D12" s="3" t="s">
        <v>191</v>
      </c>
      <c r="E12" s="8" t="s">
        <v>37</v>
      </c>
      <c r="F12" s="3" t="s">
        <v>10</v>
      </c>
      <c r="G12" s="3" t="s">
        <v>42</v>
      </c>
      <c r="H12" s="3" t="s">
        <v>175</v>
      </c>
      <c r="I12" s="3">
        <v>7.0</v>
      </c>
      <c r="J12" s="3" t="s">
        <v>11</v>
      </c>
      <c r="K12" s="12" t="str">
        <f t="shared" si="1"/>
        <v>#REF!</v>
      </c>
    </row>
    <row r="13">
      <c r="A13" s="1" t="s">
        <v>205</v>
      </c>
      <c r="B13" s="1" t="s">
        <v>207</v>
      </c>
      <c r="C13" s="3" t="s">
        <v>9</v>
      </c>
      <c r="D13" s="3" t="s">
        <v>191</v>
      </c>
      <c r="E13" s="8" t="s">
        <v>37</v>
      </c>
      <c r="F13" s="3" t="s">
        <v>10</v>
      </c>
      <c r="G13" s="3" t="s">
        <v>42</v>
      </c>
      <c r="H13" s="3" t="s">
        <v>175</v>
      </c>
      <c r="I13" s="3">
        <v>11.0</v>
      </c>
      <c r="J13" s="3" t="s">
        <v>11</v>
      </c>
      <c r="K13" s="12" t="str">
        <f t="shared" si="1"/>
        <v>#REF!</v>
      </c>
    </row>
    <row r="14">
      <c r="A14" s="1" t="s">
        <v>212</v>
      </c>
      <c r="B14" s="1" t="s">
        <v>213</v>
      </c>
      <c r="C14" s="3" t="s">
        <v>9</v>
      </c>
      <c r="D14" s="3" t="s">
        <v>191</v>
      </c>
      <c r="E14" s="8" t="e">
        <v>#N/A</v>
      </c>
      <c r="F14" s="3" t="s">
        <v>10</v>
      </c>
      <c r="G14" s="3" t="s">
        <v>42</v>
      </c>
      <c r="H14" s="3" t="s">
        <v>175</v>
      </c>
      <c r="I14" s="3">
        <v>12.0</v>
      </c>
      <c r="J14" s="3" t="s">
        <v>38</v>
      </c>
      <c r="K14" s="12" t="str">
        <f t="shared" si="1"/>
        <v>#REF!</v>
      </c>
    </row>
    <row r="15">
      <c r="A15" s="1" t="s">
        <v>219</v>
      </c>
      <c r="B15" s="1" t="s">
        <v>221</v>
      </c>
      <c r="C15" s="3" t="s">
        <v>9</v>
      </c>
      <c r="D15" s="3" t="s">
        <v>191</v>
      </c>
      <c r="E15" s="8" t="s">
        <v>120</v>
      </c>
      <c r="F15" s="3" t="s">
        <v>10</v>
      </c>
      <c r="G15" s="3" t="s">
        <v>42</v>
      </c>
      <c r="H15" s="3" t="s">
        <v>175</v>
      </c>
      <c r="I15" s="3">
        <v>13.0</v>
      </c>
      <c r="J15" s="3" t="s">
        <v>38</v>
      </c>
      <c r="K15" s="12" t="str">
        <f t="shared" si="1"/>
        <v>#REF!</v>
      </c>
    </row>
    <row r="16">
      <c r="A16" s="1" t="s">
        <v>227</v>
      </c>
      <c r="B16" s="1" t="s">
        <v>228</v>
      </c>
      <c r="C16" s="3" t="s">
        <v>9</v>
      </c>
      <c r="D16" s="3" t="s">
        <v>191</v>
      </c>
      <c r="E16" s="8" t="e">
        <v>#N/A</v>
      </c>
      <c r="F16" s="3" t="s">
        <v>10</v>
      </c>
      <c r="G16" s="3" t="s">
        <v>42</v>
      </c>
      <c r="H16" s="3" t="s">
        <v>231</v>
      </c>
      <c r="I16" s="3">
        <v>8.0</v>
      </c>
      <c r="J16" s="3" t="s">
        <v>11</v>
      </c>
      <c r="K16" s="12" t="str">
        <f t="shared" si="1"/>
        <v>#REF!</v>
      </c>
    </row>
    <row r="17">
      <c r="A17" s="1" t="s">
        <v>234</v>
      </c>
      <c r="B17" s="1" t="s">
        <v>235</v>
      </c>
      <c r="C17" s="3" t="s">
        <v>9</v>
      </c>
      <c r="D17" s="3" t="s">
        <v>34</v>
      </c>
      <c r="E17" s="8" t="s">
        <v>120</v>
      </c>
      <c r="F17" s="3" t="s">
        <v>18</v>
      </c>
      <c r="G17" s="3" t="s">
        <v>42</v>
      </c>
      <c r="H17" s="3" t="s">
        <v>43</v>
      </c>
      <c r="I17" s="3">
        <v>13.0</v>
      </c>
      <c r="J17" s="3" t="s">
        <v>11</v>
      </c>
      <c r="K17" s="12" t="str">
        <f t="shared" si="1"/>
        <v>#REF!</v>
      </c>
    </row>
    <row r="18">
      <c r="A18" s="1" t="s">
        <v>243</v>
      </c>
      <c r="B18" s="1" t="s">
        <v>244</v>
      </c>
      <c r="C18" s="3" t="s">
        <v>9</v>
      </c>
      <c r="D18" s="3" t="s">
        <v>34</v>
      </c>
      <c r="E18" s="8" t="s">
        <v>37</v>
      </c>
      <c r="F18" s="3" t="s">
        <v>18</v>
      </c>
      <c r="G18" s="3" t="s">
        <v>42</v>
      </c>
      <c r="H18" s="3" t="s">
        <v>43</v>
      </c>
      <c r="I18" s="3">
        <v>11.0</v>
      </c>
      <c r="J18" s="3" t="s">
        <v>38</v>
      </c>
      <c r="K18" s="12" t="str">
        <f t="shared" si="1"/>
        <v>#REF!</v>
      </c>
    </row>
    <row r="19">
      <c r="A19" s="1" t="s">
        <v>250</v>
      </c>
      <c r="B19" s="1" t="s">
        <v>252</v>
      </c>
      <c r="C19" s="3" t="s">
        <v>9</v>
      </c>
      <c r="D19" s="3" t="s">
        <v>34</v>
      </c>
      <c r="E19" s="8" t="e">
        <v>#N/A</v>
      </c>
      <c r="F19" s="3" t="s">
        <v>18</v>
      </c>
      <c r="G19" s="3" t="s">
        <v>42</v>
      </c>
      <c r="H19" s="3" t="s">
        <v>43</v>
      </c>
      <c r="I19" s="3">
        <v>9.0</v>
      </c>
      <c r="J19" s="3" t="s">
        <v>11</v>
      </c>
      <c r="K19" s="12" t="str">
        <f t="shared" si="1"/>
        <v>#REF!</v>
      </c>
    </row>
    <row r="20">
      <c r="A20" s="1" t="s">
        <v>259</v>
      </c>
      <c r="B20" s="1" t="s">
        <v>261</v>
      </c>
      <c r="C20" s="3" t="s">
        <v>9</v>
      </c>
      <c r="D20" s="3" t="s">
        <v>141</v>
      </c>
      <c r="E20" s="8" t="s">
        <v>37</v>
      </c>
      <c r="F20" s="3" t="s">
        <v>18</v>
      </c>
      <c r="G20" s="3" t="s">
        <v>42</v>
      </c>
      <c r="H20" s="3" t="s">
        <v>143</v>
      </c>
      <c r="I20" s="3">
        <v>1.0</v>
      </c>
      <c r="J20" s="3" t="s">
        <v>11</v>
      </c>
      <c r="K20" s="12" t="str">
        <f t="shared" si="1"/>
        <v>#REF!</v>
      </c>
    </row>
    <row r="21">
      <c r="A21" s="1" t="s">
        <v>267</v>
      </c>
      <c r="B21" s="1" t="s">
        <v>269</v>
      </c>
      <c r="C21" s="3" t="s">
        <v>9</v>
      </c>
      <c r="D21" s="3" t="s">
        <v>141</v>
      </c>
      <c r="E21" s="8" t="s">
        <v>120</v>
      </c>
      <c r="F21" s="3" t="s">
        <v>18</v>
      </c>
      <c r="G21" s="3" t="s">
        <v>42</v>
      </c>
      <c r="H21" s="3" t="s">
        <v>143</v>
      </c>
      <c r="I21" s="3">
        <v>5.0</v>
      </c>
      <c r="J21" s="3" t="s">
        <v>11</v>
      </c>
      <c r="K21" s="12" t="str">
        <f t="shared" si="1"/>
        <v>#REF!</v>
      </c>
    </row>
    <row r="22">
      <c r="A22" s="1" t="s">
        <v>275</v>
      </c>
      <c r="B22" s="1" t="s">
        <v>276</v>
      </c>
      <c r="C22" s="3" t="s">
        <v>9</v>
      </c>
      <c r="D22" s="3" t="s">
        <v>141</v>
      </c>
      <c r="E22" s="8" t="s">
        <v>120</v>
      </c>
      <c r="F22" s="3" t="s">
        <v>18</v>
      </c>
      <c r="G22" s="3" t="s">
        <v>42</v>
      </c>
      <c r="H22" s="3" t="s">
        <v>175</v>
      </c>
      <c r="I22" s="3">
        <v>3.0</v>
      </c>
      <c r="J22" s="3" t="s">
        <v>11</v>
      </c>
      <c r="K22" s="12" t="str">
        <f t="shared" si="1"/>
        <v>#REF!</v>
      </c>
    </row>
    <row r="23">
      <c r="A23" s="1" t="s">
        <v>284</v>
      </c>
      <c r="B23" s="1" t="s">
        <v>286</v>
      </c>
      <c r="C23" s="3" t="s">
        <v>9</v>
      </c>
      <c r="D23" s="3" t="s">
        <v>141</v>
      </c>
      <c r="E23" s="8" t="s">
        <v>120</v>
      </c>
      <c r="F23" s="3" t="s">
        <v>18</v>
      </c>
      <c r="G23" s="3" t="s">
        <v>42</v>
      </c>
      <c r="H23" s="3" t="s">
        <v>175</v>
      </c>
      <c r="I23" s="3">
        <v>4.0</v>
      </c>
      <c r="J23" s="3" t="s">
        <v>11</v>
      </c>
      <c r="K23" s="12" t="str">
        <f t="shared" si="1"/>
        <v>#REF!</v>
      </c>
    </row>
    <row r="24">
      <c r="A24" s="1" t="s">
        <v>291</v>
      </c>
      <c r="B24" s="1" t="s">
        <v>293</v>
      </c>
      <c r="C24" s="3" t="s">
        <v>9</v>
      </c>
      <c r="D24" s="3" t="s">
        <v>182</v>
      </c>
      <c r="E24" s="8" t="s">
        <v>120</v>
      </c>
      <c r="F24" s="3" t="s">
        <v>18</v>
      </c>
      <c r="G24" s="3" t="s">
        <v>42</v>
      </c>
      <c r="H24" s="3" t="s">
        <v>175</v>
      </c>
      <c r="I24" s="3">
        <v>6.0</v>
      </c>
      <c r="J24" s="3" t="s">
        <v>38</v>
      </c>
      <c r="K24" s="12" t="str">
        <f t="shared" si="1"/>
        <v>#REF!</v>
      </c>
    </row>
    <row r="25">
      <c r="A25" s="1" t="s">
        <v>300</v>
      </c>
      <c r="B25" s="1" t="s">
        <v>301</v>
      </c>
      <c r="C25" s="3" t="s">
        <v>9</v>
      </c>
      <c r="D25" s="3" t="s">
        <v>182</v>
      </c>
      <c r="E25" s="8" t="s">
        <v>303</v>
      </c>
      <c r="F25" s="3" t="s">
        <v>18</v>
      </c>
      <c r="G25" s="3" t="s">
        <v>42</v>
      </c>
      <c r="H25" s="3" t="s">
        <v>231</v>
      </c>
      <c r="I25" s="3">
        <v>1.0</v>
      </c>
      <c r="J25" s="3" t="s">
        <v>38</v>
      </c>
      <c r="K25" s="12" t="str">
        <f t="shared" si="1"/>
        <v>#REF!</v>
      </c>
    </row>
    <row r="26">
      <c r="A26" s="1" t="s">
        <v>311</v>
      </c>
      <c r="B26" s="1" t="s">
        <v>313</v>
      </c>
      <c r="C26" s="3" t="s">
        <v>9</v>
      </c>
      <c r="D26" s="3" t="s">
        <v>182</v>
      </c>
      <c r="E26" s="8" t="s">
        <v>120</v>
      </c>
      <c r="F26" s="3" t="s">
        <v>18</v>
      </c>
      <c r="G26" s="3" t="s">
        <v>42</v>
      </c>
      <c r="H26" s="3" t="s">
        <v>231</v>
      </c>
      <c r="I26" s="3">
        <v>2.0</v>
      </c>
      <c r="J26" s="3" t="s">
        <v>38</v>
      </c>
      <c r="K26" s="12" t="str">
        <f t="shared" si="1"/>
        <v>#REF!</v>
      </c>
    </row>
    <row r="27">
      <c r="A27" s="1" t="s">
        <v>319</v>
      </c>
      <c r="B27" s="1" t="s">
        <v>321</v>
      </c>
      <c r="C27" s="3" t="s">
        <v>9</v>
      </c>
      <c r="D27" s="3" t="s">
        <v>182</v>
      </c>
      <c r="E27" s="8" t="s">
        <v>303</v>
      </c>
      <c r="F27" s="3" t="s">
        <v>18</v>
      </c>
      <c r="G27" s="3" t="s">
        <v>42</v>
      </c>
      <c r="H27" s="3" t="s">
        <v>231</v>
      </c>
      <c r="I27" s="3">
        <v>3.0</v>
      </c>
      <c r="J27" s="3" t="s">
        <v>38</v>
      </c>
      <c r="K27" s="12" t="str">
        <f t="shared" si="1"/>
        <v>#REF!</v>
      </c>
    </row>
    <row r="28">
      <c r="A28" s="1" t="s">
        <v>330</v>
      </c>
      <c r="B28" s="1" t="s">
        <v>331</v>
      </c>
      <c r="C28" s="3" t="s">
        <v>9</v>
      </c>
      <c r="D28" s="3" t="s">
        <v>182</v>
      </c>
      <c r="E28" s="8" t="s">
        <v>37</v>
      </c>
      <c r="F28" s="3" t="s">
        <v>18</v>
      </c>
      <c r="G28" s="3" t="s">
        <v>42</v>
      </c>
      <c r="H28" s="3" t="s">
        <v>231</v>
      </c>
      <c r="I28" s="3">
        <v>4.0</v>
      </c>
      <c r="J28" s="3" t="s">
        <v>38</v>
      </c>
      <c r="K28" s="12" t="str">
        <f t="shared" si="1"/>
        <v>#REF!</v>
      </c>
    </row>
    <row r="29">
      <c r="A29" s="6" t="s">
        <v>338</v>
      </c>
      <c r="B29" s="6" t="s">
        <v>340</v>
      </c>
      <c r="C29" s="3" t="s">
        <v>9</v>
      </c>
      <c r="D29" s="3" t="s">
        <v>341</v>
      </c>
      <c r="E29" s="8" t="e">
        <v>#N/A</v>
      </c>
      <c r="F29" s="3" t="s">
        <v>18</v>
      </c>
      <c r="G29" s="3" t="s">
        <v>42</v>
      </c>
      <c r="H29" s="3" t="s">
        <v>43</v>
      </c>
      <c r="I29" s="3">
        <v>10.0</v>
      </c>
      <c r="J29" s="3" t="s">
        <v>11</v>
      </c>
      <c r="K29" s="12" t="str">
        <f t="shared" si="1"/>
        <v>#REF!</v>
      </c>
    </row>
    <row r="30">
      <c r="A30" s="1" t="s">
        <v>350</v>
      </c>
      <c r="B30" s="1" t="s">
        <v>352</v>
      </c>
      <c r="C30" s="3" t="s">
        <v>9</v>
      </c>
      <c r="D30" s="3" t="s">
        <v>341</v>
      </c>
      <c r="E30" s="8" t="e">
        <v>#N/A</v>
      </c>
      <c r="F30" s="3" t="s">
        <v>18</v>
      </c>
      <c r="G30" s="3" t="s">
        <v>42</v>
      </c>
      <c r="H30" s="3" t="s">
        <v>43</v>
      </c>
      <c r="I30" s="3">
        <v>11.0</v>
      </c>
      <c r="J30" s="3" t="s">
        <v>38</v>
      </c>
      <c r="K30" s="12" t="str">
        <f t="shared" si="1"/>
        <v>#REF!</v>
      </c>
    </row>
    <row r="31">
      <c r="A31" s="6" t="s">
        <v>360</v>
      </c>
      <c r="B31" s="6" t="s">
        <v>363</v>
      </c>
      <c r="C31" s="3" t="s">
        <v>9</v>
      </c>
      <c r="D31" s="3" t="s">
        <v>367</v>
      </c>
      <c r="E31" s="8" t="e">
        <v>#N/A</v>
      </c>
      <c r="F31" s="3" t="s">
        <v>18</v>
      </c>
      <c r="G31" s="3" t="s">
        <v>42</v>
      </c>
      <c r="H31" s="3" t="s">
        <v>143</v>
      </c>
      <c r="I31" s="3">
        <v>9.0</v>
      </c>
      <c r="J31" s="3" t="s">
        <v>11</v>
      </c>
      <c r="K31" s="12" t="str">
        <f t="shared" si="1"/>
        <v>#REF!</v>
      </c>
    </row>
    <row r="32">
      <c r="C32" s="3"/>
      <c r="D32" s="8"/>
      <c r="E32" s="8"/>
      <c r="F32" s="8"/>
      <c r="G32" s="8"/>
      <c r="H32" s="8"/>
      <c r="I32" s="8"/>
      <c r="J32" s="8"/>
    </row>
    <row r="33">
      <c r="C33" s="3"/>
      <c r="D33" s="8"/>
      <c r="E33" s="8"/>
      <c r="F33" s="8"/>
      <c r="G33" s="8"/>
      <c r="H33" s="8"/>
      <c r="I33" s="8"/>
      <c r="J33" s="8"/>
    </row>
    <row r="34">
      <c r="C34" s="3"/>
      <c r="D34" s="8"/>
      <c r="E34" s="8"/>
      <c r="F34" s="8"/>
      <c r="G34" s="8"/>
      <c r="H34" s="8"/>
      <c r="I34" s="8"/>
      <c r="J34" s="8"/>
    </row>
    <row r="35">
      <c r="C35" s="3"/>
      <c r="D35" s="8"/>
      <c r="E35" s="8"/>
      <c r="F35" s="8"/>
      <c r="G35" s="8"/>
      <c r="H35" s="8"/>
      <c r="I35" s="8"/>
      <c r="J35" s="8"/>
    </row>
    <row r="36">
      <c r="C36" s="3"/>
      <c r="D36" s="8"/>
      <c r="E36" s="8"/>
      <c r="F36" s="8"/>
      <c r="G36" s="8"/>
      <c r="H36" s="8"/>
      <c r="I36" s="8"/>
      <c r="J36" s="8"/>
    </row>
    <row r="37">
      <c r="C37" s="3"/>
      <c r="D37" s="8"/>
      <c r="E37" s="8"/>
      <c r="F37" s="8"/>
      <c r="G37" s="8"/>
      <c r="H37" s="8"/>
      <c r="I37" s="8"/>
      <c r="J37" s="8"/>
    </row>
    <row r="38">
      <c r="C38" s="3"/>
      <c r="D38" s="8"/>
      <c r="E38" s="8"/>
      <c r="F38" s="8"/>
      <c r="G38" s="8"/>
      <c r="H38" s="8"/>
      <c r="I38" s="8"/>
      <c r="J38" s="8"/>
    </row>
    <row r="39">
      <c r="C39" s="3"/>
      <c r="D39" s="8"/>
      <c r="E39" s="8"/>
      <c r="F39" s="8"/>
      <c r="G39" s="8"/>
      <c r="H39" s="8"/>
      <c r="I39" s="8"/>
      <c r="J39" s="8"/>
    </row>
    <row r="40">
      <c r="C40" s="3"/>
      <c r="D40" s="8"/>
      <c r="E40" s="8"/>
      <c r="F40" s="8"/>
      <c r="G40" s="8"/>
      <c r="H40" s="8"/>
      <c r="I40" s="8"/>
      <c r="J40" s="8"/>
    </row>
    <row r="41">
      <c r="C41" s="3"/>
      <c r="D41" s="8"/>
      <c r="E41" s="8"/>
      <c r="F41" s="8"/>
      <c r="G41" s="8"/>
      <c r="H41" s="8"/>
      <c r="I41" s="8"/>
      <c r="J41" s="8"/>
    </row>
    <row r="42">
      <c r="C42" s="3"/>
      <c r="D42" s="8"/>
      <c r="E42" s="8"/>
      <c r="F42" s="8"/>
      <c r="G42" s="8"/>
      <c r="H42" s="8"/>
      <c r="I42" s="8"/>
      <c r="J42" s="8"/>
    </row>
    <row r="43">
      <c r="C43" s="3"/>
      <c r="D43" s="8"/>
      <c r="E43" s="8"/>
      <c r="F43" s="8"/>
      <c r="G43" s="8"/>
      <c r="H43" s="8"/>
      <c r="I43" s="8"/>
      <c r="J43" s="8"/>
    </row>
    <row r="44">
      <c r="C44" s="3"/>
      <c r="D44" s="8"/>
      <c r="E44" s="8"/>
      <c r="F44" s="8"/>
      <c r="G44" s="8"/>
      <c r="H44" s="8"/>
      <c r="I44" s="8"/>
      <c r="J44" s="8"/>
    </row>
    <row r="45">
      <c r="C45" s="3"/>
      <c r="D45" s="8"/>
      <c r="E45" s="8"/>
      <c r="F45" s="8"/>
      <c r="G45" s="8"/>
      <c r="H45" s="8"/>
      <c r="I45" s="8"/>
      <c r="J45" s="8"/>
    </row>
    <row r="46">
      <c r="C46" s="3"/>
      <c r="D46" s="8"/>
      <c r="E46" s="8"/>
      <c r="F46" s="8"/>
      <c r="G46" s="8"/>
      <c r="H46" s="8"/>
      <c r="I46" s="8"/>
      <c r="J46" s="8"/>
    </row>
    <row r="47">
      <c r="C47" s="3"/>
      <c r="D47" s="8"/>
      <c r="E47" s="8"/>
      <c r="F47" s="8"/>
      <c r="G47" s="8"/>
      <c r="H47" s="8"/>
      <c r="I47" s="8"/>
      <c r="J47" s="8"/>
    </row>
    <row r="48">
      <c r="C48" s="3"/>
      <c r="D48" s="8"/>
      <c r="E48" s="8"/>
      <c r="F48" s="8"/>
      <c r="G48" s="8"/>
      <c r="H48" s="8"/>
      <c r="I48" s="8"/>
      <c r="J48" s="8"/>
    </row>
    <row r="49">
      <c r="C49" s="3"/>
      <c r="D49" s="8"/>
      <c r="E49" s="8"/>
      <c r="F49" s="8"/>
      <c r="G49" s="8"/>
      <c r="H49" s="8"/>
      <c r="I49" s="8"/>
      <c r="J49" s="8"/>
    </row>
    <row r="50">
      <c r="C50" s="3"/>
      <c r="D50" s="8"/>
      <c r="E50" s="8"/>
      <c r="F50" s="8"/>
      <c r="G50" s="8"/>
      <c r="H50" s="8"/>
      <c r="I50" s="8"/>
      <c r="J50" s="8"/>
    </row>
    <row r="51">
      <c r="C51" s="3"/>
      <c r="D51" s="8"/>
      <c r="E51" s="8"/>
      <c r="F51" s="8"/>
      <c r="G51" s="8"/>
      <c r="H51" s="8"/>
      <c r="I51" s="8"/>
      <c r="J51" s="8"/>
    </row>
    <row r="52">
      <c r="C52" s="3"/>
      <c r="D52" s="8"/>
      <c r="E52" s="8"/>
      <c r="F52" s="8"/>
      <c r="G52" s="8"/>
      <c r="H52" s="8"/>
      <c r="I52" s="8"/>
      <c r="J52" s="8"/>
    </row>
    <row r="53">
      <c r="C53" s="3"/>
      <c r="D53" s="8"/>
      <c r="E53" s="8"/>
      <c r="F53" s="8"/>
      <c r="G53" s="8"/>
      <c r="H53" s="8"/>
      <c r="I53" s="8"/>
      <c r="J53" s="8"/>
    </row>
    <row r="54">
      <c r="C54" s="3"/>
      <c r="D54" s="8"/>
      <c r="E54" s="8"/>
      <c r="F54" s="8"/>
      <c r="G54" s="8"/>
      <c r="H54" s="8"/>
      <c r="I54" s="8"/>
      <c r="J54" s="8"/>
    </row>
    <row r="55">
      <c r="C55" s="3"/>
      <c r="D55" s="8"/>
      <c r="E55" s="8"/>
      <c r="F55" s="8"/>
      <c r="G55" s="8"/>
      <c r="H55" s="8"/>
      <c r="I55" s="8"/>
      <c r="J55" s="8"/>
    </row>
    <row r="56">
      <c r="C56" s="3"/>
      <c r="D56" s="8"/>
      <c r="E56" s="8"/>
      <c r="F56" s="8"/>
      <c r="G56" s="8"/>
      <c r="H56" s="8"/>
      <c r="I56" s="8"/>
      <c r="J56" s="8"/>
    </row>
    <row r="57">
      <c r="C57" s="3"/>
      <c r="D57" s="8"/>
      <c r="E57" s="8"/>
      <c r="F57" s="8"/>
      <c r="G57" s="8"/>
      <c r="H57" s="8"/>
      <c r="I57" s="8"/>
      <c r="J57" s="8"/>
    </row>
    <row r="58">
      <c r="C58" s="3"/>
      <c r="D58" s="8"/>
      <c r="E58" s="8"/>
      <c r="F58" s="8"/>
      <c r="G58" s="8"/>
      <c r="H58" s="8"/>
      <c r="I58" s="8"/>
      <c r="J58" s="8"/>
    </row>
    <row r="59">
      <c r="C59" s="3"/>
      <c r="D59" s="8"/>
      <c r="E59" s="8"/>
      <c r="F59" s="8"/>
      <c r="G59" s="8"/>
      <c r="H59" s="8"/>
      <c r="I59" s="8"/>
      <c r="J59" s="8"/>
    </row>
    <row r="60">
      <c r="C60" s="3"/>
      <c r="D60" s="8"/>
      <c r="E60" s="8"/>
      <c r="F60" s="8"/>
      <c r="G60" s="8"/>
      <c r="H60" s="8"/>
      <c r="I60" s="8"/>
      <c r="J60" s="8"/>
    </row>
    <row r="61">
      <c r="C61" s="3"/>
      <c r="D61" s="8"/>
      <c r="E61" s="8"/>
      <c r="F61" s="8"/>
      <c r="G61" s="8"/>
      <c r="H61" s="8"/>
      <c r="I61" s="8"/>
      <c r="J61" s="8"/>
    </row>
    <row r="62">
      <c r="C62" s="8"/>
      <c r="D62" s="8"/>
      <c r="E62" s="8"/>
      <c r="F62" s="8"/>
      <c r="G62" s="8"/>
      <c r="H62" s="8"/>
      <c r="I62" s="8"/>
      <c r="J62" s="8"/>
    </row>
    <row r="63">
      <c r="C63" s="8"/>
      <c r="D63" s="8"/>
      <c r="E63" s="8"/>
      <c r="F63" s="8"/>
      <c r="G63" s="8"/>
      <c r="H63" s="8"/>
      <c r="I63" s="8"/>
      <c r="J63" s="8"/>
    </row>
    <row r="64">
      <c r="C64" s="8"/>
      <c r="D64" s="8"/>
      <c r="E64" s="8"/>
      <c r="F64" s="8"/>
      <c r="G64" s="8"/>
      <c r="H64" s="8"/>
      <c r="I64" s="8"/>
      <c r="J64" s="8"/>
    </row>
    <row r="65">
      <c r="C65" s="8"/>
      <c r="D65" s="8"/>
      <c r="E65" s="8"/>
      <c r="F65" s="8"/>
      <c r="G65" s="8"/>
      <c r="H65" s="8"/>
      <c r="I65" s="8"/>
      <c r="J65" s="8"/>
    </row>
    <row r="66">
      <c r="C66" s="8"/>
      <c r="D66" s="8"/>
      <c r="E66" s="8"/>
      <c r="F66" s="8"/>
      <c r="G66" s="8"/>
      <c r="H66" s="8"/>
      <c r="I66" s="8"/>
      <c r="J66" s="8"/>
    </row>
    <row r="67">
      <c r="C67" s="8"/>
      <c r="D67" s="8"/>
      <c r="E67" s="8"/>
      <c r="F67" s="8"/>
      <c r="G67" s="8"/>
      <c r="H67" s="8"/>
      <c r="I67" s="8"/>
      <c r="J67" s="8"/>
    </row>
    <row r="68">
      <c r="C68" s="8"/>
      <c r="D68" s="8"/>
      <c r="E68" s="8"/>
      <c r="F68" s="8"/>
      <c r="G68" s="8"/>
      <c r="H68" s="8"/>
      <c r="I68" s="8"/>
      <c r="J68" s="8"/>
    </row>
    <row r="69">
      <c r="C69" s="8"/>
      <c r="D69" s="8"/>
      <c r="E69" s="8"/>
      <c r="F69" s="8"/>
      <c r="G69" s="8"/>
      <c r="H69" s="8"/>
      <c r="I69" s="8"/>
      <c r="J69" s="8"/>
    </row>
    <row r="70">
      <c r="C70" s="8"/>
      <c r="D70" s="8"/>
      <c r="E70" s="8"/>
      <c r="F70" s="8"/>
      <c r="G70" s="8"/>
      <c r="H70" s="8"/>
      <c r="I70" s="8"/>
      <c r="J70" s="8"/>
    </row>
    <row r="71">
      <c r="C71" s="8"/>
      <c r="D71" s="8"/>
      <c r="E71" s="8"/>
      <c r="F71" s="8"/>
      <c r="G71" s="8"/>
      <c r="H71" s="8"/>
      <c r="I71" s="8"/>
      <c r="J71" s="8"/>
    </row>
    <row r="72">
      <c r="C72" s="8"/>
      <c r="D72" s="8"/>
      <c r="E72" s="8"/>
      <c r="F72" s="8"/>
      <c r="G72" s="8"/>
      <c r="H72" s="8"/>
      <c r="I72" s="8"/>
      <c r="J72" s="8"/>
    </row>
    <row r="73">
      <c r="C73" s="8"/>
      <c r="D73" s="8"/>
      <c r="E73" s="8"/>
      <c r="F73" s="8"/>
      <c r="G73" s="8"/>
      <c r="H73" s="8"/>
      <c r="I73" s="8"/>
      <c r="J73" s="8"/>
    </row>
    <row r="74">
      <c r="C74" s="8"/>
      <c r="D74" s="8"/>
      <c r="E74" s="8"/>
      <c r="F74" s="8"/>
      <c r="G74" s="8"/>
      <c r="H74" s="8"/>
      <c r="I74" s="8"/>
      <c r="J74" s="8"/>
    </row>
    <row r="75">
      <c r="C75" s="8"/>
      <c r="D75" s="8"/>
      <c r="E75" s="8"/>
      <c r="F75" s="8"/>
      <c r="G75" s="8"/>
      <c r="H75" s="8"/>
      <c r="I75" s="8"/>
      <c r="J75" s="8"/>
    </row>
    <row r="76">
      <c r="C76" s="8"/>
      <c r="D76" s="8"/>
      <c r="E76" s="8"/>
      <c r="F76" s="8"/>
      <c r="G76" s="8"/>
      <c r="H76" s="8"/>
      <c r="I76" s="8"/>
      <c r="J76" s="8"/>
    </row>
    <row r="77">
      <c r="C77" s="8"/>
      <c r="D77" s="8"/>
      <c r="E77" s="8"/>
      <c r="F77" s="8"/>
      <c r="G77" s="8"/>
      <c r="H77" s="8"/>
      <c r="I77" s="8"/>
      <c r="J77" s="8"/>
    </row>
    <row r="78">
      <c r="C78" s="8"/>
      <c r="D78" s="8"/>
      <c r="E78" s="8"/>
      <c r="F78" s="8"/>
      <c r="G78" s="8"/>
      <c r="H78" s="8"/>
      <c r="I78" s="8"/>
      <c r="J78" s="8"/>
    </row>
    <row r="79">
      <c r="C79" s="8"/>
      <c r="D79" s="8"/>
      <c r="E79" s="8"/>
      <c r="F79" s="8"/>
      <c r="G79" s="8"/>
      <c r="H79" s="8"/>
      <c r="I79" s="8"/>
      <c r="J79" s="8"/>
    </row>
    <row r="80">
      <c r="C80" s="8"/>
      <c r="D80" s="8"/>
      <c r="E80" s="8"/>
      <c r="F80" s="8"/>
      <c r="G80" s="8"/>
      <c r="H80" s="8"/>
      <c r="I80" s="8"/>
      <c r="J80" s="8"/>
    </row>
    <row r="81">
      <c r="C81" s="8"/>
      <c r="D81" s="8"/>
      <c r="E81" s="8"/>
      <c r="F81" s="8"/>
      <c r="G81" s="8"/>
      <c r="H81" s="8"/>
      <c r="I81" s="8"/>
      <c r="J81" s="8"/>
    </row>
    <row r="82">
      <c r="C82" s="8"/>
      <c r="D82" s="8"/>
      <c r="E82" s="8"/>
      <c r="F82" s="8"/>
      <c r="G82" s="8"/>
      <c r="H82" s="8"/>
      <c r="I82" s="8"/>
      <c r="J82" s="8"/>
    </row>
    <row r="83">
      <c r="C83" s="8"/>
      <c r="D83" s="8"/>
      <c r="E83" s="8"/>
      <c r="F83" s="8"/>
      <c r="G83" s="8"/>
      <c r="H83" s="8"/>
      <c r="I83" s="8"/>
      <c r="J83" s="8"/>
    </row>
    <row r="84">
      <c r="C84" s="8"/>
      <c r="D84" s="8"/>
      <c r="E84" s="8"/>
      <c r="F84" s="8"/>
      <c r="G84" s="8"/>
      <c r="H84" s="8"/>
      <c r="I84" s="8"/>
      <c r="J84" s="8"/>
    </row>
    <row r="85">
      <c r="C85" s="8"/>
      <c r="D85" s="8"/>
      <c r="E85" s="8"/>
      <c r="F85" s="8"/>
      <c r="G85" s="8"/>
      <c r="H85" s="8"/>
      <c r="I85" s="8"/>
      <c r="J85" s="8"/>
    </row>
    <row r="86">
      <c r="C86" s="8"/>
      <c r="D86" s="8"/>
      <c r="E86" s="8"/>
      <c r="F86" s="8"/>
      <c r="G86" s="8"/>
      <c r="H86" s="8"/>
      <c r="I86" s="8"/>
      <c r="J86" s="8"/>
    </row>
    <row r="87">
      <c r="C87" s="8"/>
      <c r="D87" s="8"/>
      <c r="E87" s="8"/>
      <c r="F87" s="8"/>
      <c r="G87" s="8"/>
      <c r="H87" s="8"/>
      <c r="I87" s="8"/>
      <c r="J87" s="8"/>
    </row>
    <row r="88">
      <c r="C88" s="8"/>
      <c r="D88" s="8"/>
      <c r="E88" s="8"/>
      <c r="F88" s="8"/>
      <c r="G88" s="8"/>
      <c r="H88" s="8"/>
      <c r="I88" s="8"/>
      <c r="J88" s="8"/>
    </row>
    <row r="89">
      <c r="C89" s="8"/>
      <c r="D89" s="8"/>
      <c r="E89" s="8"/>
      <c r="F89" s="8"/>
      <c r="G89" s="8"/>
      <c r="H89" s="8"/>
      <c r="I89" s="8"/>
      <c r="J89" s="8"/>
    </row>
    <row r="90">
      <c r="C90" s="8"/>
      <c r="D90" s="8"/>
      <c r="E90" s="8"/>
      <c r="F90" s="8"/>
      <c r="G90" s="8"/>
      <c r="H90" s="8"/>
      <c r="I90" s="8"/>
      <c r="J90" s="8"/>
    </row>
    <row r="91">
      <c r="C91" s="8"/>
      <c r="D91" s="8"/>
      <c r="E91" s="8"/>
      <c r="F91" s="8"/>
      <c r="G91" s="8"/>
      <c r="H91" s="8"/>
      <c r="I91" s="8"/>
      <c r="J91" s="8"/>
    </row>
    <row r="92">
      <c r="C92" s="8"/>
      <c r="D92" s="8"/>
      <c r="E92" s="8"/>
      <c r="F92" s="8"/>
      <c r="G92" s="8"/>
      <c r="H92" s="8"/>
      <c r="I92" s="8"/>
      <c r="J92" s="8"/>
    </row>
    <row r="93">
      <c r="C93" s="8"/>
      <c r="D93" s="8"/>
      <c r="E93" s="8"/>
      <c r="F93" s="8"/>
      <c r="G93" s="8"/>
      <c r="H93" s="8"/>
      <c r="I93" s="8"/>
      <c r="J93" s="8"/>
    </row>
    <row r="94">
      <c r="C94" s="8"/>
      <c r="D94" s="8"/>
      <c r="E94" s="8"/>
      <c r="F94" s="8"/>
      <c r="G94" s="8"/>
      <c r="H94" s="8"/>
      <c r="I94" s="8"/>
      <c r="J94" s="8"/>
    </row>
    <row r="95">
      <c r="C95" s="8"/>
      <c r="D95" s="8"/>
      <c r="E95" s="8"/>
      <c r="F95" s="8"/>
      <c r="G95" s="8"/>
      <c r="H95" s="8"/>
      <c r="I95" s="8"/>
      <c r="J95" s="8"/>
    </row>
    <row r="96">
      <c r="C96" s="8"/>
      <c r="D96" s="8"/>
      <c r="E96" s="8"/>
      <c r="F96" s="8"/>
      <c r="G96" s="8"/>
      <c r="H96" s="8"/>
      <c r="I96" s="8"/>
      <c r="J96" s="8"/>
    </row>
    <row r="97">
      <c r="C97" s="8"/>
      <c r="D97" s="8"/>
      <c r="E97" s="8"/>
      <c r="F97" s="8"/>
      <c r="G97" s="8"/>
      <c r="H97" s="8"/>
      <c r="I97" s="8"/>
      <c r="J97" s="8"/>
    </row>
    <row r="98">
      <c r="C98" s="8"/>
      <c r="D98" s="8"/>
      <c r="E98" s="8"/>
      <c r="F98" s="8"/>
      <c r="G98" s="8"/>
      <c r="H98" s="8"/>
      <c r="I98" s="8"/>
      <c r="J98" s="8"/>
    </row>
    <row r="99">
      <c r="C99" s="8"/>
      <c r="D99" s="8"/>
      <c r="E99" s="8"/>
      <c r="F99" s="8"/>
      <c r="G99" s="8"/>
      <c r="H99" s="8"/>
      <c r="I99" s="8"/>
      <c r="J99" s="8"/>
    </row>
    <row r="100">
      <c r="C100" s="8"/>
      <c r="D100" s="8"/>
      <c r="E100" s="8"/>
      <c r="F100" s="8"/>
      <c r="G100" s="8"/>
      <c r="H100" s="8"/>
      <c r="I100" s="8"/>
      <c r="J100" s="8"/>
    </row>
    <row r="101">
      <c r="C101" s="8"/>
      <c r="D101" s="8"/>
      <c r="E101" s="8"/>
      <c r="F101" s="8"/>
      <c r="G101" s="8"/>
      <c r="H101" s="8"/>
      <c r="I101" s="8"/>
      <c r="J101" s="8"/>
    </row>
    <row r="102">
      <c r="C102" s="8"/>
      <c r="D102" s="8"/>
      <c r="E102" s="8"/>
      <c r="F102" s="8"/>
      <c r="G102" s="8"/>
      <c r="H102" s="8"/>
      <c r="I102" s="8"/>
      <c r="J102" s="8"/>
    </row>
    <row r="103">
      <c r="C103" s="8"/>
      <c r="D103" s="8"/>
      <c r="E103" s="8"/>
      <c r="F103" s="8"/>
      <c r="G103" s="8"/>
      <c r="H103" s="8"/>
      <c r="I103" s="8"/>
      <c r="J103" s="8"/>
    </row>
    <row r="104">
      <c r="C104" s="8"/>
      <c r="D104" s="8"/>
      <c r="E104" s="8"/>
      <c r="F104" s="8"/>
      <c r="G104" s="8"/>
      <c r="H104" s="8"/>
      <c r="I104" s="8"/>
      <c r="J104" s="8"/>
    </row>
    <row r="105">
      <c r="C105" s="8"/>
      <c r="D105" s="8"/>
      <c r="E105" s="8"/>
      <c r="F105" s="8"/>
      <c r="G105" s="8"/>
      <c r="H105" s="8"/>
      <c r="I105" s="8"/>
      <c r="J105" s="8"/>
    </row>
    <row r="106">
      <c r="C106" s="8"/>
      <c r="D106" s="8"/>
      <c r="E106" s="8"/>
      <c r="F106" s="8"/>
      <c r="G106" s="8"/>
      <c r="H106" s="8"/>
      <c r="I106" s="8"/>
      <c r="J106" s="8"/>
    </row>
    <row r="107">
      <c r="C107" s="8"/>
      <c r="D107" s="8"/>
      <c r="E107" s="8"/>
      <c r="F107" s="8"/>
      <c r="G107" s="8"/>
      <c r="H107" s="8"/>
      <c r="I107" s="8"/>
      <c r="J107" s="8"/>
    </row>
    <row r="108">
      <c r="C108" s="8"/>
      <c r="D108" s="8"/>
      <c r="E108" s="8"/>
      <c r="F108" s="8"/>
      <c r="G108" s="8"/>
      <c r="H108" s="8"/>
      <c r="I108" s="8"/>
      <c r="J108" s="8"/>
    </row>
    <row r="109">
      <c r="C109" s="8"/>
      <c r="D109" s="8"/>
      <c r="E109" s="8"/>
      <c r="F109" s="8"/>
      <c r="G109" s="8"/>
      <c r="H109" s="8"/>
      <c r="I109" s="8"/>
      <c r="J109" s="8"/>
    </row>
    <row r="110">
      <c r="C110" s="8"/>
      <c r="D110" s="8"/>
      <c r="E110" s="8"/>
      <c r="F110" s="8"/>
      <c r="G110" s="8"/>
      <c r="H110" s="8"/>
      <c r="I110" s="8"/>
      <c r="J110" s="8"/>
    </row>
    <row r="111">
      <c r="C111" s="8"/>
      <c r="D111" s="8"/>
      <c r="E111" s="8"/>
      <c r="F111" s="8"/>
      <c r="G111" s="8"/>
      <c r="H111" s="8"/>
      <c r="I111" s="8"/>
      <c r="J111" s="8"/>
    </row>
    <row r="112">
      <c r="C112" s="8"/>
      <c r="D112" s="8"/>
      <c r="E112" s="8"/>
      <c r="F112" s="8"/>
      <c r="G112" s="8"/>
      <c r="H112" s="8"/>
      <c r="I112" s="8"/>
      <c r="J112" s="8"/>
    </row>
    <row r="113">
      <c r="C113" s="8"/>
      <c r="D113" s="8"/>
      <c r="E113" s="8"/>
      <c r="F113" s="8"/>
      <c r="G113" s="8"/>
      <c r="H113" s="8"/>
      <c r="I113" s="8"/>
      <c r="J113" s="8"/>
    </row>
    <row r="114">
      <c r="C114" s="8"/>
      <c r="D114" s="8"/>
      <c r="E114" s="8"/>
      <c r="F114" s="8"/>
      <c r="G114" s="8"/>
      <c r="H114" s="8"/>
      <c r="I114" s="8"/>
      <c r="J114" s="8"/>
    </row>
    <row r="115">
      <c r="C115" s="8"/>
      <c r="D115" s="8"/>
      <c r="E115" s="8"/>
      <c r="F115" s="8"/>
      <c r="G115" s="8"/>
      <c r="H115" s="8"/>
      <c r="I115" s="8"/>
      <c r="J115" s="8"/>
    </row>
    <row r="116">
      <c r="C116" s="8"/>
      <c r="D116" s="8"/>
      <c r="E116" s="8"/>
      <c r="F116" s="8"/>
      <c r="G116" s="8"/>
      <c r="H116" s="8"/>
      <c r="I116" s="8"/>
      <c r="J116" s="8"/>
    </row>
    <row r="117">
      <c r="C117" s="8"/>
      <c r="D117" s="8"/>
      <c r="E117" s="8"/>
      <c r="F117" s="8"/>
      <c r="G117" s="8"/>
      <c r="H117" s="8"/>
      <c r="I117" s="8"/>
      <c r="J117" s="8"/>
    </row>
    <row r="118">
      <c r="C118" s="8"/>
      <c r="D118" s="8"/>
      <c r="E118" s="8"/>
      <c r="F118" s="8"/>
      <c r="G118" s="8"/>
      <c r="H118" s="8"/>
      <c r="I118" s="8"/>
      <c r="J118" s="8"/>
    </row>
    <row r="119">
      <c r="C119" s="8"/>
      <c r="D119" s="8"/>
      <c r="E119" s="8"/>
      <c r="F119" s="8"/>
      <c r="G119" s="8"/>
      <c r="H119" s="8"/>
      <c r="I119" s="8"/>
      <c r="J119" s="8"/>
    </row>
    <row r="120">
      <c r="C120" s="8"/>
      <c r="D120" s="8"/>
      <c r="E120" s="8"/>
      <c r="F120" s="8"/>
      <c r="G120" s="8"/>
      <c r="H120" s="8"/>
      <c r="I120" s="8"/>
      <c r="J120" s="8"/>
    </row>
    <row r="121">
      <c r="C121" s="8"/>
      <c r="D121" s="8"/>
      <c r="E121" s="8"/>
      <c r="F121" s="8"/>
      <c r="G121" s="8"/>
      <c r="H121" s="8"/>
      <c r="I121" s="8"/>
      <c r="J121" s="8"/>
    </row>
    <row r="122">
      <c r="C122" s="8"/>
      <c r="D122" s="8"/>
      <c r="E122" s="8"/>
      <c r="F122" s="8"/>
      <c r="G122" s="8"/>
      <c r="H122" s="8"/>
      <c r="I122" s="8"/>
      <c r="J122" s="8"/>
    </row>
    <row r="123">
      <c r="C123" s="8"/>
      <c r="D123" s="8"/>
      <c r="E123" s="8"/>
      <c r="F123" s="8"/>
      <c r="G123" s="8"/>
      <c r="H123" s="8"/>
      <c r="I123" s="8"/>
      <c r="J123" s="8"/>
    </row>
    <row r="124">
      <c r="C124" s="8"/>
      <c r="D124" s="8"/>
      <c r="E124" s="8"/>
      <c r="F124" s="8"/>
      <c r="G124" s="8"/>
      <c r="H124" s="8"/>
      <c r="I124" s="8"/>
      <c r="J124" s="8"/>
    </row>
    <row r="125">
      <c r="C125" s="8"/>
      <c r="D125" s="8"/>
      <c r="E125" s="8"/>
      <c r="F125" s="8"/>
      <c r="G125" s="8"/>
      <c r="H125" s="8"/>
      <c r="I125" s="8"/>
      <c r="J125" s="8"/>
    </row>
    <row r="126">
      <c r="C126" s="8"/>
      <c r="D126" s="8"/>
      <c r="E126" s="8"/>
      <c r="F126" s="8"/>
      <c r="G126" s="8"/>
      <c r="H126" s="8"/>
      <c r="I126" s="8"/>
      <c r="J126" s="8"/>
    </row>
    <row r="127">
      <c r="C127" s="8"/>
      <c r="D127" s="8"/>
      <c r="E127" s="8"/>
      <c r="F127" s="8"/>
      <c r="G127" s="8"/>
      <c r="H127" s="8"/>
      <c r="I127" s="8"/>
      <c r="J127" s="8"/>
    </row>
    <row r="128">
      <c r="C128" s="8"/>
      <c r="D128" s="8"/>
      <c r="E128" s="8"/>
      <c r="F128" s="8"/>
      <c r="G128" s="8"/>
      <c r="H128" s="8"/>
      <c r="I128" s="8"/>
      <c r="J128" s="8"/>
    </row>
    <row r="129">
      <c r="C129" s="8"/>
      <c r="D129" s="8"/>
      <c r="E129" s="8"/>
      <c r="F129" s="8"/>
      <c r="G129" s="8"/>
      <c r="H129" s="8"/>
      <c r="I129" s="8"/>
      <c r="J129" s="8"/>
    </row>
    <row r="130">
      <c r="C130" s="8"/>
      <c r="D130" s="8"/>
      <c r="E130" s="8"/>
      <c r="F130" s="8"/>
      <c r="G130" s="8"/>
      <c r="H130" s="8"/>
      <c r="I130" s="8"/>
      <c r="J130" s="8"/>
    </row>
    <row r="131">
      <c r="C131" s="8"/>
      <c r="D131" s="8"/>
      <c r="E131" s="8"/>
      <c r="F131" s="8"/>
      <c r="G131" s="8"/>
      <c r="H131" s="8"/>
      <c r="I131" s="8"/>
      <c r="J131" s="8"/>
    </row>
    <row r="132">
      <c r="C132" s="8"/>
      <c r="D132" s="8"/>
      <c r="E132" s="8"/>
      <c r="F132" s="8"/>
      <c r="G132" s="8"/>
      <c r="H132" s="8"/>
      <c r="I132" s="8"/>
      <c r="J132" s="8"/>
    </row>
    <row r="133">
      <c r="C133" s="8"/>
      <c r="D133" s="8"/>
      <c r="E133" s="8"/>
      <c r="F133" s="8"/>
      <c r="G133" s="8"/>
      <c r="H133" s="8"/>
      <c r="I133" s="8"/>
      <c r="J133" s="8"/>
    </row>
    <row r="134">
      <c r="C134" s="8"/>
      <c r="D134" s="8"/>
      <c r="E134" s="8"/>
      <c r="F134" s="8"/>
      <c r="G134" s="8"/>
      <c r="H134" s="8"/>
      <c r="I134" s="8"/>
      <c r="J134" s="8"/>
    </row>
    <row r="135">
      <c r="C135" s="8"/>
      <c r="D135" s="8"/>
      <c r="E135" s="8"/>
      <c r="F135" s="8"/>
      <c r="G135" s="8"/>
      <c r="H135" s="8"/>
      <c r="I135" s="8"/>
      <c r="J135" s="8"/>
    </row>
    <row r="136">
      <c r="C136" s="8"/>
      <c r="D136" s="8"/>
      <c r="E136" s="8"/>
      <c r="F136" s="8"/>
      <c r="G136" s="8"/>
      <c r="H136" s="8"/>
      <c r="I136" s="8"/>
      <c r="J136" s="8"/>
    </row>
    <row r="137">
      <c r="C137" s="8"/>
      <c r="D137" s="8"/>
      <c r="E137" s="8"/>
      <c r="F137" s="8"/>
      <c r="G137" s="8"/>
      <c r="H137" s="8"/>
      <c r="I137" s="8"/>
      <c r="J137" s="8"/>
    </row>
    <row r="138">
      <c r="C138" s="8"/>
      <c r="D138" s="8"/>
      <c r="E138" s="8"/>
      <c r="F138" s="8"/>
      <c r="G138" s="8"/>
      <c r="H138" s="8"/>
      <c r="I138" s="8"/>
      <c r="J138" s="8"/>
    </row>
    <row r="139">
      <c r="C139" s="8"/>
      <c r="D139" s="8"/>
      <c r="E139" s="8"/>
      <c r="F139" s="8"/>
      <c r="G139" s="8"/>
      <c r="H139" s="8"/>
      <c r="I139" s="8"/>
      <c r="J139" s="8"/>
    </row>
    <row r="140">
      <c r="C140" s="8"/>
      <c r="D140" s="8"/>
      <c r="E140" s="8"/>
      <c r="F140" s="8"/>
      <c r="G140" s="8"/>
      <c r="H140" s="8"/>
      <c r="I140" s="8"/>
      <c r="J140" s="8"/>
    </row>
    <row r="141">
      <c r="C141" s="8"/>
      <c r="D141" s="8"/>
      <c r="E141" s="8"/>
      <c r="F141" s="8"/>
      <c r="G141" s="8"/>
      <c r="H141" s="8"/>
      <c r="I141" s="8"/>
      <c r="J141" s="8"/>
    </row>
    <row r="142">
      <c r="C142" s="8"/>
      <c r="D142" s="8"/>
      <c r="E142" s="8"/>
      <c r="F142" s="8"/>
      <c r="G142" s="8"/>
      <c r="H142" s="8"/>
      <c r="I142" s="8"/>
      <c r="J142" s="8"/>
    </row>
    <row r="143">
      <c r="C143" s="8"/>
      <c r="D143" s="8"/>
      <c r="E143" s="8"/>
      <c r="F143" s="8"/>
      <c r="G143" s="8"/>
      <c r="H143" s="8"/>
      <c r="I143" s="8"/>
      <c r="J143" s="8"/>
    </row>
    <row r="144">
      <c r="C144" s="8"/>
      <c r="D144" s="8"/>
      <c r="E144" s="8"/>
      <c r="F144" s="8"/>
      <c r="G144" s="8"/>
      <c r="H144" s="8"/>
      <c r="I144" s="8"/>
      <c r="J144" s="8"/>
    </row>
    <row r="145">
      <c r="C145" s="8"/>
      <c r="D145" s="8"/>
      <c r="E145" s="8"/>
      <c r="F145" s="8"/>
      <c r="G145" s="8"/>
      <c r="H145" s="8"/>
      <c r="I145" s="8"/>
      <c r="J145" s="8"/>
    </row>
    <row r="146">
      <c r="C146" s="8"/>
      <c r="D146" s="8"/>
      <c r="E146" s="8"/>
      <c r="F146" s="8"/>
      <c r="G146" s="8"/>
      <c r="H146" s="8"/>
      <c r="I146" s="8"/>
      <c r="J146" s="8"/>
    </row>
    <row r="147">
      <c r="C147" s="8"/>
      <c r="D147" s="8"/>
      <c r="E147" s="8"/>
      <c r="F147" s="8"/>
      <c r="G147" s="8"/>
      <c r="H147" s="8"/>
      <c r="I147" s="8"/>
      <c r="J147" s="8"/>
    </row>
    <row r="148">
      <c r="C148" s="8"/>
      <c r="D148" s="8"/>
      <c r="E148" s="8"/>
      <c r="F148" s="8"/>
      <c r="G148" s="8"/>
      <c r="H148" s="8"/>
      <c r="I148" s="8"/>
      <c r="J148" s="8"/>
    </row>
    <row r="149">
      <c r="C149" s="8"/>
      <c r="D149" s="8"/>
      <c r="E149" s="8"/>
      <c r="F149" s="8"/>
      <c r="G149" s="8"/>
      <c r="H149" s="8"/>
      <c r="I149" s="8"/>
      <c r="J149" s="8"/>
    </row>
    <row r="150">
      <c r="C150" s="8"/>
      <c r="D150" s="8"/>
      <c r="E150" s="8"/>
      <c r="F150" s="8"/>
      <c r="G150" s="8"/>
      <c r="H150" s="8"/>
      <c r="I150" s="8"/>
      <c r="J150" s="8"/>
    </row>
    <row r="151">
      <c r="C151" s="8"/>
      <c r="D151" s="8"/>
      <c r="E151" s="8"/>
      <c r="F151" s="8"/>
      <c r="G151" s="8"/>
      <c r="H151" s="8"/>
      <c r="I151" s="8"/>
      <c r="J151" s="8"/>
    </row>
    <row r="152">
      <c r="C152" s="8"/>
      <c r="D152" s="8"/>
      <c r="E152" s="8"/>
      <c r="F152" s="8"/>
      <c r="G152" s="8"/>
      <c r="H152" s="8"/>
      <c r="I152" s="8"/>
      <c r="J152" s="8"/>
    </row>
    <row r="153">
      <c r="C153" s="8"/>
      <c r="D153" s="8"/>
      <c r="E153" s="8"/>
      <c r="F153" s="8"/>
      <c r="G153" s="8"/>
      <c r="H153" s="8"/>
      <c r="I153" s="8"/>
      <c r="J153" s="8"/>
    </row>
    <row r="154">
      <c r="C154" s="8"/>
      <c r="D154" s="8"/>
      <c r="E154" s="8"/>
      <c r="F154" s="8"/>
      <c r="G154" s="8"/>
      <c r="H154" s="8"/>
      <c r="I154" s="8"/>
      <c r="J154" s="8"/>
    </row>
    <row r="155">
      <c r="C155" s="8"/>
      <c r="D155" s="8"/>
      <c r="E155" s="8"/>
      <c r="F155" s="8"/>
      <c r="G155" s="8"/>
      <c r="H155" s="8"/>
      <c r="I155" s="8"/>
      <c r="J155" s="8"/>
    </row>
    <row r="156">
      <c r="C156" s="8"/>
      <c r="D156" s="8"/>
      <c r="E156" s="8"/>
      <c r="F156" s="8"/>
      <c r="G156" s="8"/>
      <c r="H156" s="8"/>
      <c r="I156" s="8"/>
      <c r="J156" s="8"/>
    </row>
    <row r="157">
      <c r="C157" s="8"/>
      <c r="D157" s="8"/>
      <c r="E157" s="8"/>
      <c r="F157" s="8"/>
      <c r="G157" s="8"/>
      <c r="H157" s="8"/>
      <c r="I157" s="8"/>
      <c r="J157" s="8"/>
    </row>
    <row r="158">
      <c r="C158" s="8"/>
      <c r="D158" s="8"/>
      <c r="E158" s="8"/>
      <c r="F158" s="8"/>
      <c r="G158" s="8"/>
      <c r="H158" s="8"/>
      <c r="I158" s="8"/>
      <c r="J158" s="8"/>
    </row>
    <row r="159">
      <c r="C159" s="8"/>
      <c r="D159" s="8"/>
      <c r="E159" s="8"/>
      <c r="F159" s="8"/>
      <c r="G159" s="8"/>
      <c r="H159" s="8"/>
      <c r="I159" s="8"/>
      <c r="J159" s="8"/>
    </row>
    <row r="160">
      <c r="C160" s="8"/>
      <c r="D160" s="8"/>
      <c r="E160" s="8"/>
      <c r="F160" s="8"/>
      <c r="G160" s="8"/>
      <c r="H160" s="8"/>
      <c r="I160" s="8"/>
      <c r="J160" s="8"/>
    </row>
    <row r="161">
      <c r="C161" s="8"/>
      <c r="D161" s="8"/>
      <c r="E161" s="8"/>
      <c r="F161" s="8"/>
      <c r="G161" s="8"/>
      <c r="H161" s="8"/>
      <c r="I161" s="8"/>
      <c r="J161" s="8"/>
    </row>
    <row r="162">
      <c r="C162" s="8"/>
      <c r="D162" s="8"/>
      <c r="E162" s="8"/>
      <c r="F162" s="8"/>
      <c r="G162" s="8"/>
      <c r="H162" s="8"/>
      <c r="I162" s="8"/>
      <c r="J162" s="8"/>
    </row>
    <row r="163">
      <c r="C163" s="8"/>
      <c r="D163" s="8"/>
      <c r="E163" s="8"/>
      <c r="F163" s="8"/>
      <c r="G163" s="8"/>
      <c r="H163" s="8"/>
      <c r="I163" s="8"/>
      <c r="J163" s="8"/>
    </row>
    <row r="164">
      <c r="C164" s="8"/>
      <c r="D164" s="8"/>
      <c r="E164" s="8"/>
      <c r="F164" s="8"/>
      <c r="G164" s="8"/>
      <c r="H164" s="8"/>
      <c r="I164" s="8"/>
      <c r="J164" s="8"/>
    </row>
    <row r="165">
      <c r="C165" s="8"/>
      <c r="D165" s="8"/>
      <c r="E165" s="8"/>
      <c r="F165" s="8"/>
      <c r="G165" s="8"/>
      <c r="H165" s="8"/>
      <c r="I165" s="8"/>
      <c r="J165" s="8"/>
    </row>
    <row r="166">
      <c r="C166" s="8"/>
      <c r="D166" s="8"/>
      <c r="E166" s="8"/>
      <c r="F166" s="8"/>
      <c r="G166" s="8"/>
      <c r="H166" s="8"/>
      <c r="I166" s="8"/>
      <c r="J166" s="8"/>
    </row>
    <row r="167">
      <c r="C167" s="8"/>
      <c r="D167" s="8"/>
      <c r="E167" s="8"/>
      <c r="F167" s="8"/>
      <c r="G167" s="8"/>
      <c r="H167" s="8"/>
      <c r="I167" s="8"/>
      <c r="J167" s="8"/>
    </row>
    <row r="168">
      <c r="C168" s="8"/>
      <c r="D168" s="8"/>
      <c r="E168" s="8"/>
      <c r="F168" s="8"/>
      <c r="G168" s="8"/>
      <c r="H168" s="8"/>
      <c r="I168" s="8"/>
      <c r="J168" s="8"/>
    </row>
    <row r="169">
      <c r="C169" s="8"/>
      <c r="D169" s="8"/>
      <c r="E169" s="8"/>
      <c r="F169" s="8"/>
      <c r="G169" s="8"/>
      <c r="H169" s="8"/>
      <c r="I169" s="8"/>
      <c r="J169" s="8"/>
    </row>
    <row r="170">
      <c r="C170" s="8"/>
      <c r="D170" s="8"/>
      <c r="E170" s="8"/>
      <c r="F170" s="8"/>
      <c r="G170" s="8"/>
      <c r="H170" s="8"/>
      <c r="I170" s="8"/>
      <c r="J170" s="8"/>
    </row>
    <row r="171">
      <c r="C171" s="8"/>
      <c r="D171" s="8"/>
      <c r="E171" s="8"/>
      <c r="F171" s="8"/>
      <c r="G171" s="8"/>
      <c r="H171" s="8"/>
      <c r="I171" s="8"/>
      <c r="J171" s="8"/>
    </row>
    <row r="172">
      <c r="C172" s="8"/>
      <c r="D172" s="8"/>
      <c r="E172" s="8"/>
      <c r="F172" s="8"/>
      <c r="G172" s="8"/>
      <c r="H172" s="8"/>
      <c r="I172" s="8"/>
      <c r="J172" s="8"/>
    </row>
    <row r="173">
      <c r="C173" s="8"/>
      <c r="D173" s="8"/>
      <c r="E173" s="8"/>
      <c r="F173" s="8"/>
      <c r="G173" s="8"/>
      <c r="H173" s="8"/>
      <c r="I173" s="8"/>
      <c r="J173" s="8"/>
    </row>
    <row r="174">
      <c r="C174" s="8"/>
      <c r="D174" s="8"/>
      <c r="E174" s="8"/>
      <c r="F174" s="8"/>
      <c r="G174" s="8"/>
      <c r="H174" s="8"/>
      <c r="I174" s="8"/>
      <c r="J174" s="8"/>
    </row>
    <row r="175">
      <c r="C175" s="8"/>
      <c r="D175" s="8"/>
      <c r="E175" s="8"/>
      <c r="F175" s="8"/>
      <c r="G175" s="8"/>
      <c r="H175" s="8"/>
      <c r="I175" s="8"/>
      <c r="J175" s="8"/>
    </row>
    <row r="176">
      <c r="C176" s="8"/>
      <c r="D176" s="8"/>
      <c r="E176" s="8"/>
      <c r="F176" s="8"/>
      <c r="G176" s="8"/>
      <c r="H176" s="8"/>
      <c r="I176" s="8"/>
      <c r="J176" s="8"/>
    </row>
    <row r="177">
      <c r="C177" s="8"/>
      <c r="D177" s="8"/>
      <c r="E177" s="8"/>
      <c r="F177" s="8"/>
      <c r="G177" s="8"/>
      <c r="H177" s="8"/>
      <c r="I177" s="8"/>
      <c r="J177" s="8"/>
    </row>
    <row r="178">
      <c r="C178" s="8"/>
      <c r="D178" s="8"/>
      <c r="E178" s="8"/>
      <c r="F178" s="8"/>
      <c r="G178" s="8"/>
      <c r="H178" s="8"/>
      <c r="I178" s="8"/>
      <c r="J178" s="8"/>
    </row>
    <row r="179">
      <c r="C179" s="8"/>
      <c r="D179" s="8"/>
      <c r="E179" s="8"/>
      <c r="F179" s="8"/>
      <c r="G179" s="8"/>
      <c r="H179" s="8"/>
      <c r="I179" s="8"/>
      <c r="J179" s="8"/>
    </row>
    <row r="180">
      <c r="C180" s="8"/>
      <c r="D180" s="8"/>
      <c r="E180" s="8"/>
      <c r="F180" s="8"/>
      <c r="G180" s="8"/>
      <c r="H180" s="8"/>
      <c r="I180" s="8"/>
      <c r="J180" s="8"/>
    </row>
    <row r="181">
      <c r="C181" s="8"/>
      <c r="D181" s="8"/>
      <c r="E181" s="8"/>
      <c r="F181" s="8"/>
      <c r="G181" s="8"/>
      <c r="H181" s="8"/>
      <c r="I181" s="8"/>
      <c r="J181" s="8"/>
    </row>
    <row r="182">
      <c r="C182" s="8"/>
      <c r="D182" s="8"/>
      <c r="E182" s="8"/>
      <c r="F182" s="8"/>
      <c r="G182" s="8"/>
      <c r="H182" s="8"/>
      <c r="I182" s="8"/>
      <c r="J182" s="8"/>
    </row>
    <row r="183">
      <c r="C183" s="8"/>
      <c r="D183" s="8"/>
      <c r="E183" s="8"/>
      <c r="F183" s="8"/>
      <c r="G183" s="8"/>
      <c r="H183" s="8"/>
      <c r="I183" s="8"/>
      <c r="J183" s="8"/>
    </row>
    <row r="184">
      <c r="C184" s="8"/>
      <c r="D184" s="8"/>
      <c r="E184" s="8"/>
      <c r="F184" s="8"/>
      <c r="G184" s="8"/>
      <c r="H184" s="8"/>
      <c r="I184" s="8"/>
      <c r="J184" s="8"/>
    </row>
    <row r="185">
      <c r="C185" s="8"/>
      <c r="D185" s="8"/>
      <c r="E185" s="8"/>
      <c r="F185" s="8"/>
      <c r="G185" s="8"/>
      <c r="H185" s="8"/>
      <c r="I185" s="8"/>
      <c r="J185" s="8"/>
    </row>
    <row r="186">
      <c r="C186" s="8"/>
      <c r="D186" s="8"/>
      <c r="E186" s="8"/>
      <c r="F186" s="8"/>
      <c r="G186" s="8"/>
      <c r="H186" s="8"/>
      <c r="I186" s="8"/>
      <c r="J186" s="8"/>
    </row>
    <row r="187">
      <c r="C187" s="8"/>
      <c r="D187" s="8"/>
      <c r="E187" s="8"/>
      <c r="F187" s="8"/>
      <c r="G187" s="8"/>
      <c r="H187" s="8"/>
      <c r="I187" s="8"/>
      <c r="J187" s="8"/>
    </row>
    <row r="188">
      <c r="C188" s="8"/>
      <c r="D188" s="8"/>
      <c r="E188" s="8"/>
      <c r="F188" s="8"/>
      <c r="G188" s="8"/>
      <c r="H188" s="8"/>
      <c r="I188" s="8"/>
      <c r="J188" s="8"/>
    </row>
    <row r="189">
      <c r="C189" s="8"/>
      <c r="D189" s="8"/>
      <c r="E189" s="8"/>
      <c r="F189" s="8"/>
      <c r="G189" s="8"/>
      <c r="H189" s="8"/>
      <c r="I189" s="8"/>
      <c r="J189" s="8"/>
    </row>
    <row r="190">
      <c r="C190" s="8"/>
      <c r="D190" s="8"/>
      <c r="E190" s="8"/>
      <c r="F190" s="8"/>
      <c r="G190" s="8"/>
      <c r="H190" s="8"/>
      <c r="I190" s="8"/>
      <c r="J190" s="8"/>
    </row>
    <row r="191">
      <c r="C191" s="8"/>
      <c r="D191" s="8"/>
      <c r="E191" s="8"/>
      <c r="F191" s="8"/>
      <c r="G191" s="8"/>
      <c r="H191" s="8"/>
      <c r="I191" s="8"/>
      <c r="J191" s="8"/>
    </row>
    <row r="192">
      <c r="C192" s="8"/>
      <c r="D192" s="8"/>
      <c r="E192" s="8"/>
      <c r="F192" s="8"/>
      <c r="G192" s="8"/>
      <c r="H192" s="8"/>
      <c r="I192" s="8"/>
      <c r="J192" s="8"/>
    </row>
    <row r="193">
      <c r="C193" s="8"/>
      <c r="D193" s="8"/>
      <c r="E193" s="8"/>
      <c r="F193" s="8"/>
      <c r="G193" s="8"/>
      <c r="H193" s="8"/>
      <c r="I193" s="8"/>
      <c r="J193" s="8"/>
    </row>
    <row r="194">
      <c r="C194" s="8"/>
      <c r="D194" s="8"/>
      <c r="E194" s="8"/>
      <c r="F194" s="8"/>
      <c r="G194" s="8"/>
      <c r="H194" s="8"/>
      <c r="I194" s="8"/>
      <c r="J194" s="8"/>
    </row>
    <row r="195">
      <c r="C195" s="8"/>
      <c r="D195" s="8"/>
      <c r="E195" s="8"/>
      <c r="F195" s="8"/>
      <c r="G195" s="8"/>
      <c r="H195" s="8"/>
      <c r="I195" s="8"/>
      <c r="J195" s="8"/>
    </row>
    <row r="196">
      <c r="C196" s="8"/>
      <c r="D196" s="8"/>
      <c r="E196" s="8"/>
      <c r="F196" s="8"/>
      <c r="G196" s="8"/>
      <c r="H196" s="8"/>
      <c r="I196" s="8"/>
      <c r="J196" s="8"/>
    </row>
    <row r="197">
      <c r="C197" s="8"/>
      <c r="D197" s="8"/>
      <c r="E197" s="8"/>
      <c r="F197" s="8"/>
      <c r="G197" s="8"/>
      <c r="H197" s="8"/>
      <c r="I197" s="8"/>
      <c r="J197" s="8"/>
    </row>
    <row r="198">
      <c r="C198" s="8"/>
      <c r="D198" s="8"/>
      <c r="E198" s="8"/>
      <c r="F198" s="8"/>
      <c r="G198" s="8"/>
      <c r="H198" s="8"/>
      <c r="I198" s="8"/>
      <c r="J198" s="8"/>
    </row>
    <row r="199">
      <c r="C199" s="8"/>
      <c r="D199" s="8"/>
      <c r="E199" s="8"/>
      <c r="F199" s="8"/>
      <c r="G199" s="8"/>
      <c r="H199" s="8"/>
      <c r="I199" s="8"/>
      <c r="J199" s="8"/>
    </row>
    <row r="200">
      <c r="C200" s="8"/>
      <c r="D200" s="8"/>
      <c r="E200" s="8"/>
      <c r="F200" s="8"/>
      <c r="G200" s="8"/>
      <c r="H200" s="8"/>
      <c r="I200" s="8"/>
      <c r="J200" s="8"/>
    </row>
    <row r="201">
      <c r="C201" s="8"/>
      <c r="D201" s="8"/>
      <c r="E201" s="8"/>
      <c r="F201" s="8"/>
      <c r="G201" s="8"/>
      <c r="H201" s="8"/>
      <c r="I201" s="8"/>
      <c r="J201" s="8"/>
    </row>
    <row r="202">
      <c r="C202" s="8"/>
      <c r="D202" s="8"/>
      <c r="E202" s="8"/>
      <c r="F202" s="8"/>
      <c r="G202" s="8"/>
      <c r="H202" s="8"/>
      <c r="I202" s="8"/>
      <c r="J202" s="8"/>
    </row>
    <row r="203">
      <c r="C203" s="8"/>
      <c r="D203" s="8"/>
      <c r="E203" s="8"/>
      <c r="F203" s="8"/>
      <c r="G203" s="8"/>
      <c r="H203" s="8"/>
      <c r="I203" s="8"/>
      <c r="J203" s="8"/>
    </row>
    <row r="204">
      <c r="C204" s="8"/>
      <c r="D204" s="8"/>
      <c r="E204" s="8"/>
      <c r="F204" s="8"/>
      <c r="G204" s="8"/>
      <c r="H204" s="8"/>
      <c r="I204" s="8"/>
      <c r="J204" s="8"/>
    </row>
    <row r="205">
      <c r="C205" s="8"/>
      <c r="D205" s="8"/>
      <c r="E205" s="8"/>
      <c r="F205" s="8"/>
      <c r="G205" s="8"/>
      <c r="H205" s="8"/>
      <c r="I205" s="8"/>
      <c r="J205" s="8"/>
    </row>
    <row r="206">
      <c r="C206" s="8"/>
      <c r="D206" s="8"/>
      <c r="E206" s="8"/>
      <c r="F206" s="8"/>
      <c r="G206" s="8"/>
      <c r="H206" s="8"/>
      <c r="I206" s="8"/>
      <c r="J206" s="8"/>
    </row>
    <row r="207">
      <c r="C207" s="8"/>
      <c r="D207" s="8"/>
      <c r="E207" s="8"/>
      <c r="F207" s="8"/>
      <c r="G207" s="8"/>
      <c r="H207" s="8"/>
      <c r="I207" s="8"/>
      <c r="J207" s="8"/>
    </row>
    <row r="208">
      <c r="C208" s="8"/>
      <c r="D208" s="8"/>
      <c r="E208" s="8"/>
      <c r="F208" s="8"/>
      <c r="G208" s="8"/>
      <c r="H208" s="8"/>
      <c r="I208" s="8"/>
      <c r="J208" s="8"/>
    </row>
    <row r="209">
      <c r="C209" s="8"/>
      <c r="D209" s="8"/>
      <c r="E209" s="8"/>
      <c r="F209" s="8"/>
      <c r="G209" s="8"/>
      <c r="H209" s="8"/>
      <c r="I209" s="8"/>
      <c r="J209" s="8"/>
    </row>
    <row r="210">
      <c r="C210" s="8"/>
      <c r="D210" s="8"/>
      <c r="E210" s="8"/>
      <c r="F210" s="8"/>
      <c r="G210" s="8"/>
      <c r="H210" s="8"/>
      <c r="I210" s="8"/>
      <c r="J210" s="8"/>
    </row>
    <row r="211">
      <c r="C211" s="8"/>
      <c r="D211" s="8"/>
      <c r="E211" s="8"/>
      <c r="F211" s="8"/>
      <c r="G211" s="8"/>
      <c r="H211" s="8"/>
      <c r="I211" s="8"/>
      <c r="J211" s="8"/>
    </row>
    <row r="212">
      <c r="C212" s="8"/>
      <c r="D212" s="8"/>
      <c r="E212" s="8"/>
      <c r="F212" s="8"/>
      <c r="G212" s="8"/>
      <c r="H212" s="8"/>
      <c r="I212" s="8"/>
      <c r="J212" s="8"/>
    </row>
    <row r="213">
      <c r="C213" s="8"/>
      <c r="D213" s="8"/>
      <c r="E213" s="8"/>
      <c r="F213" s="8"/>
      <c r="G213" s="8"/>
      <c r="H213" s="8"/>
      <c r="I213" s="8"/>
      <c r="J213" s="8"/>
    </row>
    <row r="214">
      <c r="C214" s="8"/>
      <c r="D214" s="8"/>
      <c r="E214" s="8"/>
      <c r="F214" s="8"/>
      <c r="G214" s="8"/>
      <c r="H214" s="8"/>
      <c r="I214" s="8"/>
      <c r="J214" s="8"/>
    </row>
    <row r="215">
      <c r="C215" s="8"/>
      <c r="D215" s="8"/>
      <c r="E215" s="8"/>
      <c r="F215" s="8"/>
      <c r="G215" s="8"/>
      <c r="H215" s="8"/>
      <c r="I215" s="8"/>
      <c r="J215" s="8"/>
    </row>
    <row r="216">
      <c r="C216" s="8"/>
      <c r="D216" s="8"/>
      <c r="E216" s="8"/>
      <c r="F216" s="8"/>
      <c r="G216" s="8"/>
      <c r="H216" s="8"/>
      <c r="I216" s="8"/>
      <c r="J216" s="8"/>
    </row>
    <row r="217">
      <c r="C217" s="8"/>
      <c r="D217" s="8"/>
      <c r="E217" s="8"/>
      <c r="F217" s="8"/>
      <c r="G217" s="8"/>
      <c r="H217" s="8"/>
      <c r="I217" s="8"/>
      <c r="J217" s="8"/>
    </row>
    <row r="218">
      <c r="C218" s="8"/>
      <c r="D218" s="8"/>
      <c r="E218" s="8"/>
      <c r="F218" s="8"/>
      <c r="G218" s="8"/>
      <c r="H218" s="8"/>
      <c r="I218" s="8"/>
      <c r="J218" s="8"/>
    </row>
    <row r="219">
      <c r="C219" s="8"/>
      <c r="D219" s="8"/>
      <c r="E219" s="8"/>
      <c r="F219" s="8"/>
      <c r="G219" s="8"/>
      <c r="H219" s="8"/>
      <c r="I219" s="8"/>
      <c r="J219" s="8"/>
    </row>
    <row r="220">
      <c r="C220" s="8"/>
      <c r="D220" s="8"/>
      <c r="E220" s="8"/>
      <c r="F220" s="8"/>
      <c r="G220" s="8"/>
      <c r="H220" s="8"/>
      <c r="I220" s="8"/>
      <c r="J220" s="8"/>
    </row>
    <row r="221">
      <c r="C221" s="8"/>
      <c r="D221" s="8"/>
      <c r="E221" s="8"/>
      <c r="F221" s="8"/>
      <c r="G221" s="8"/>
      <c r="H221" s="8"/>
      <c r="I221" s="8"/>
      <c r="J221" s="8"/>
    </row>
    <row r="222">
      <c r="C222" s="8"/>
      <c r="D222" s="8"/>
      <c r="E222" s="8"/>
      <c r="F222" s="8"/>
      <c r="G222" s="8"/>
      <c r="H222" s="8"/>
      <c r="I222" s="8"/>
      <c r="J222" s="8"/>
    </row>
    <row r="223">
      <c r="C223" s="8"/>
      <c r="D223" s="8"/>
      <c r="E223" s="8"/>
      <c r="F223" s="8"/>
      <c r="G223" s="8"/>
      <c r="H223" s="8"/>
      <c r="I223" s="8"/>
      <c r="J223" s="8"/>
    </row>
    <row r="224">
      <c r="C224" s="8"/>
      <c r="D224" s="8"/>
      <c r="E224" s="8"/>
      <c r="F224" s="8"/>
      <c r="G224" s="8"/>
      <c r="H224" s="8"/>
      <c r="I224" s="8"/>
      <c r="J224" s="8"/>
    </row>
    <row r="225">
      <c r="C225" s="8"/>
      <c r="D225" s="8"/>
      <c r="E225" s="8"/>
      <c r="F225" s="8"/>
      <c r="G225" s="8"/>
      <c r="H225" s="8"/>
      <c r="I225" s="8"/>
      <c r="J225" s="8"/>
    </row>
    <row r="226">
      <c r="C226" s="8"/>
      <c r="D226" s="8"/>
      <c r="E226" s="8"/>
      <c r="F226" s="8"/>
      <c r="G226" s="8"/>
      <c r="H226" s="8"/>
      <c r="I226" s="8"/>
      <c r="J226" s="8"/>
    </row>
    <row r="227">
      <c r="C227" s="8"/>
      <c r="D227" s="8"/>
      <c r="E227" s="8"/>
      <c r="F227" s="8"/>
      <c r="G227" s="8"/>
      <c r="H227" s="8"/>
      <c r="I227" s="8"/>
      <c r="J227" s="8"/>
    </row>
    <row r="228">
      <c r="C228" s="8"/>
      <c r="D228" s="8"/>
      <c r="E228" s="8"/>
      <c r="F228" s="8"/>
      <c r="G228" s="8"/>
      <c r="H228" s="8"/>
      <c r="I228" s="8"/>
      <c r="J228" s="8"/>
    </row>
    <row r="229">
      <c r="C229" s="8"/>
      <c r="D229" s="8"/>
      <c r="E229" s="8"/>
      <c r="F229" s="8"/>
      <c r="G229" s="8"/>
      <c r="H229" s="8"/>
      <c r="I229" s="8"/>
      <c r="J229" s="8"/>
    </row>
    <row r="230">
      <c r="C230" s="8"/>
      <c r="D230" s="8"/>
      <c r="E230" s="8"/>
      <c r="F230" s="8"/>
      <c r="G230" s="8"/>
      <c r="H230" s="8"/>
      <c r="I230" s="8"/>
      <c r="J230" s="8"/>
    </row>
    <row r="231">
      <c r="C231" s="8"/>
      <c r="D231" s="8"/>
      <c r="E231" s="8"/>
      <c r="F231" s="8"/>
      <c r="G231" s="8"/>
      <c r="H231" s="8"/>
      <c r="I231" s="8"/>
      <c r="J231" s="8"/>
    </row>
    <row r="232">
      <c r="C232" s="8"/>
      <c r="D232" s="8"/>
      <c r="E232" s="8"/>
      <c r="F232" s="8"/>
      <c r="G232" s="8"/>
      <c r="H232" s="8"/>
      <c r="I232" s="8"/>
      <c r="J232" s="8"/>
    </row>
    <row r="233">
      <c r="C233" s="8"/>
      <c r="D233" s="8"/>
      <c r="E233" s="8"/>
      <c r="F233" s="8"/>
      <c r="G233" s="8"/>
      <c r="H233" s="8"/>
      <c r="I233" s="8"/>
      <c r="J233" s="8"/>
    </row>
    <row r="234">
      <c r="C234" s="8"/>
      <c r="D234" s="8"/>
      <c r="E234" s="8"/>
      <c r="F234" s="8"/>
      <c r="G234" s="8"/>
      <c r="H234" s="8"/>
      <c r="I234" s="8"/>
      <c r="J234" s="8"/>
    </row>
    <row r="235">
      <c r="C235" s="8"/>
      <c r="D235" s="8"/>
      <c r="E235" s="8"/>
      <c r="F235" s="8"/>
      <c r="G235" s="8"/>
      <c r="H235" s="8"/>
      <c r="I235" s="8"/>
      <c r="J235" s="8"/>
    </row>
    <row r="236">
      <c r="C236" s="8"/>
      <c r="D236" s="8"/>
      <c r="E236" s="8"/>
      <c r="F236" s="8"/>
      <c r="G236" s="8"/>
      <c r="H236" s="8"/>
      <c r="I236" s="8"/>
      <c r="J236" s="8"/>
    </row>
    <row r="237">
      <c r="C237" s="8"/>
      <c r="D237" s="8"/>
      <c r="E237" s="8"/>
      <c r="F237" s="8"/>
      <c r="G237" s="8"/>
      <c r="H237" s="8"/>
      <c r="I237" s="8"/>
      <c r="J237" s="8"/>
    </row>
    <row r="238">
      <c r="C238" s="8"/>
      <c r="D238" s="8"/>
      <c r="E238" s="8"/>
      <c r="F238" s="8"/>
      <c r="G238" s="8"/>
      <c r="H238" s="8"/>
      <c r="I238" s="8"/>
      <c r="J238" s="8"/>
    </row>
    <row r="239">
      <c r="C239" s="8"/>
      <c r="D239" s="8"/>
      <c r="E239" s="8"/>
      <c r="F239" s="8"/>
      <c r="G239" s="8"/>
      <c r="H239" s="8"/>
      <c r="I239" s="8"/>
      <c r="J239" s="8"/>
    </row>
    <row r="240">
      <c r="C240" s="8"/>
      <c r="D240" s="8"/>
      <c r="E240" s="8"/>
      <c r="F240" s="8"/>
      <c r="G240" s="8"/>
      <c r="H240" s="8"/>
      <c r="I240" s="8"/>
      <c r="J240" s="8"/>
    </row>
    <row r="241">
      <c r="C241" s="8"/>
      <c r="D241" s="8"/>
      <c r="E241" s="8"/>
      <c r="F241" s="8"/>
      <c r="G241" s="8"/>
      <c r="H241" s="8"/>
      <c r="I241" s="8"/>
      <c r="J241" s="8"/>
    </row>
    <row r="242">
      <c r="C242" s="8"/>
      <c r="D242" s="8"/>
      <c r="E242" s="8"/>
      <c r="F242" s="8"/>
      <c r="G242" s="8"/>
      <c r="H242" s="8"/>
      <c r="I242" s="8"/>
      <c r="J242" s="8"/>
    </row>
    <row r="243">
      <c r="C243" s="8"/>
      <c r="D243" s="8"/>
      <c r="E243" s="8"/>
      <c r="F243" s="8"/>
      <c r="G243" s="8"/>
      <c r="H243" s="8"/>
      <c r="I243" s="8"/>
      <c r="J243" s="8"/>
    </row>
    <row r="244">
      <c r="C244" s="8"/>
      <c r="D244" s="8"/>
      <c r="E244" s="8"/>
      <c r="F244" s="8"/>
      <c r="G244" s="8"/>
      <c r="H244" s="8"/>
      <c r="I244" s="8"/>
      <c r="J244" s="8"/>
    </row>
    <row r="245">
      <c r="C245" s="8"/>
      <c r="D245" s="8"/>
      <c r="E245" s="8"/>
      <c r="F245" s="8"/>
      <c r="G245" s="8"/>
      <c r="H245" s="8"/>
      <c r="I245" s="8"/>
      <c r="J245" s="8"/>
    </row>
    <row r="246">
      <c r="C246" s="8"/>
      <c r="D246" s="8"/>
      <c r="E246" s="8"/>
      <c r="F246" s="8"/>
      <c r="G246" s="8"/>
      <c r="H246" s="8"/>
      <c r="I246" s="8"/>
      <c r="J246" s="8"/>
    </row>
    <row r="247">
      <c r="C247" s="8"/>
      <c r="D247" s="8"/>
      <c r="E247" s="8"/>
      <c r="F247" s="8"/>
      <c r="G247" s="8"/>
      <c r="H247" s="8"/>
      <c r="I247" s="8"/>
      <c r="J247" s="8"/>
    </row>
    <row r="248">
      <c r="C248" s="8"/>
      <c r="D248" s="8"/>
      <c r="E248" s="8"/>
      <c r="F248" s="8"/>
      <c r="G248" s="8"/>
      <c r="H248" s="8"/>
      <c r="I248" s="8"/>
      <c r="J248" s="8"/>
    </row>
    <row r="249">
      <c r="C249" s="8"/>
      <c r="D249" s="8"/>
      <c r="E249" s="8"/>
      <c r="F249" s="8"/>
      <c r="G249" s="8"/>
      <c r="H249" s="8"/>
      <c r="I249" s="8"/>
      <c r="J249" s="8"/>
    </row>
    <row r="250">
      <c r="C250" s="8"/>
      <c r="D250" s="8"/>
      <c r="E250" s="8"/>
      <c r="F250" s="8"/>
      <c r="G250" s="8"/>
      <c r="H250" s="8"/>
      <c r="I250" s="8"/>
      <c r="J250" s="8"/>
    </row>
    <row r="251">
      <c r="C251" s="8"/>
      <c r="D251" s="8"/>
      <c r="E251" s="8"/>
      <c r="F251" s="8"/>
      <c r="G251" s="8"/>
      <c r="H251" s="8"/>
      <c r="I251" s="8"/>
      <c r="J251" s="8"/>
    </row>
    <row r="252">
      <c r="C252" s="8"/>
      <c r="D252" s="8"/>
      <c r="E252" s="8"/>
      <c r="F252" s="8"/>
      <c r="G252" s="8"/>
      <c r="H252" s="8"/>
      <c r="I252" s="8"/>
      <c r="J252" s="8"/>
    </row>
    <row r="253">
      <c r="C253" s="8"/>
      <c r="D253" s="8"/>
      <c r="E253" s="8"/>
      <c r="F253" s="8"/>
      <c r="G253" s="8"/>
      <c r="H253" s="8"/>
      <c r="I253" s="8"/>
      <c r="J253" s="8"/>
    </row>
    <row r="254">
      <c r="C254" s="8"/>
      <c r="D254" s="8"/>
      <c r="E254" s="8"/>
      <c r="F254" s="8"/>
      <c r="G254" s="8"/>
      <c r="H254" s="8"/>
      <c r="I254" s="8"/>
      <c r="J254" s="8"/>
    </row>
    <row r="255">
      <c r="C255" s="8"/>
      <c r="D255" s="8"/>
      <c r="E255" s="8"/>
      <c r="F255" s="8"/>
      <c r="G255" s="8"/>
      <c r="H255" s="8"/>
      <c r="I255" s="8"/>
      <c r="J255" s="8"/>
    </row>
    <row r="256">
      <c r="C256" s="8"/>
      <c r="D256" s="8"/>
      <c r="E256" s="8"/>
      <c r="F256" s="8"/>
      <c r="G256" s="8"/>
      <c r="H256" s="8"/>
      <c r="I256" s="8"/>
      <c r="J256" s="8"/>
    </row>
    <row r="257">
      <c r="C257" s="8"/>
      <c r="D257" s="8"/>
      <c r="E257" s="8"/>
      <c r="F257" s="8"/>
      <c r="G257" s="8"/>
      <c r="H257" s="8"/>
      <c r="I257" s="8"/>
      <c r="J257" s="8"/>
    </row>
    <row r="258">
      <c r="C258" s="8"/>
      <c r="D258" s="8"/>
      <c r="E258" s="8"/>
      <c r="F258" s="8"/>
      <c r="G258" s="8"/>
      <c r="H258" s="8"/>
      <c r="I258" s="8"/>
      <c r="J258" s="8"/>
    </row>
    <row r="259">
      <c r="C259" s="8"/>
      <c r="D259" s="8"/>
      <c r="E259" s="8"/>
      <c r="F259" s="8"/>
      <c r="G259" s="8"/>
      <c r="H259" s="8"/>
      <c r="I259" s="8"/>
      <c r="J259" s="8"/>
    </row>
    <row r="260">
      <c r="C260" s="8"/>
      <c r="D260" s="8"/>
      <c r="E260" s="8"/>
      <c r="F260" s="8"/>
      <c r="G260" s="8"/>
      <c r="H260" s="8"/>
      <c r="I260" s="8"/>
      <c r="J260" s="8"/>
    </row>
    <row r="261">
      <c r="C261" s="8"/>
      <c r="D261" s="8"/>
      <c r="E261" s="8"/>
      <c r="F261" s="8"/>
      <c r="G261" s="8"/>
      <c r="H261" s="8"/>
      <c r="I261" s="8"/>
      <c r="J261" s="8"/>
    </row>
    <row r="262">
      <c r="C262" s="8"/>
      <c r="D262" s="8"/>
      <c r="E262" s="8"/>
      <c r="F262" s="8"/>
      <c r="G262" s="8"/>
      <c r="H262" s="8"/>
      <c r="I262" s="8"/>
      <c r="J262" s="8"/>
    </row>
    <row r="263">
      <c r="C263" s="8"/>
      <c r="D263" s="8"/>
      <c r="E263" s="8"/>
      <c r="F263" s="8"/>
      <c r="G263" s="8"/>
      <c r="H263" s="8"/>
      <c r="I263" s="8"/>
      <c r="J263" s="8"/>
    </row>
    <row r="264">
      <c r="C264" s="8"/>
      <c r="D264" s="8"/>
      <c r="E264" s="8"/>
      <c r="F264" s="8"/>
      <c r="G264" s="8"/>
      <c r="H264" s="8"/>
      <c r="I264" s="8"/>
      <c r="J264" s="8"/>
    </row>
    <row r="265">
      <c r="C265" s="8"/>
      <c r="D265" s="8"/>
      <c r="E265" s="8"/>
      <c r="F265" s="8"/>
      <c r="G265" s="8"/>
      <c r="H265" s="8"/>
      <c r="I265" s="8"/>
      <c r="J265" s="8"/>
    </row>
    <row r="266">
      <c r="C266" s="8"/>
      <c r="D266" s="8"/>
      <c r="E266" s="8"/>
      <c r="F266" s="8"/>
      <c r="G266" s="8"/>
      <c r="H266" s="8"/>
      <c r="I266" s="8"/>
      <c r="J266" s="8"/>
    </row>
    <row r="267">
      <c r="C267" s="8"/>
      <c r="D267" s="8"/>
      <c r="E267" s="8"/>
      <c r="F267" s="8"/>
      <c r="G267" s="8"/>
      <c r="H267" s="8"/>
      <c r="I267" s="8"/>
      <c r="J267" s="8"/>
    </row>
    <row r="268">
      <c r="C268" s="8"/>
      <c r="D268" s="8"/>
      <c r="E268" s="8"/>
      <c r="F268" s="8"/>
      <c r="G268" s="8"/>
      <c r="H268" s="8"/>
      <c r="I268" s="8"/>
      <c r="J268" s="8"/>
    </row>
    <row r="269">
      <c r="C269" s="8"/>
      <c r="D269" s="8"/>
      <c r="E269" s="8"/>
      <c r="F269" s="8"/>
      <c r="G269" s="8"/>
      <c r="H269" s="8"/>
      <c r="I269" s="8"/>
      <c r="J269" s="8"/>
    </row>
    <row r="270">
      <c r="C270" s="8"/>
      <c r="D270" s="8"/>
      <c r="E270" s="8"/>
      <c r="F270" s="8"/>
      <c r="G270" s="8"/>
      <c r="H270" s="8"/>
      <c r="I270" s="8"/>
      <c r="J270" s="8"/>
    </row>
    <row r="271">
      <c r="C271" s="8"/>
      <c r="D271" s="8"/>
      <c r="E271" s="8"/>
      <c r="F271" s="8"/>
      <c r="G271" s="8"/>
      <c r="H271" s="8"/>
      <c r="I271" s="8"/>
      <c r="J271" s="8"/>
    </row>
    <row r="272">
      <c r="C272" s="8"/>
      <c r="D272" s="8"/>
      <c r="E272" s="8"/>
      <c r="F272" s="8"/>
      <c r="G272" s="8"/>
      <c r="H272" s="8"/>
      <c r="I272" s="8"/>
      <c r="J272" s="8"/>
    </row>
    <row r="273">
      <c r="C273" s="8"/>
      <c r="D273" s="8"/>
      <c r="E273" s="8"/>
      <c r="F273" s="8"/>
      <c r="G273" s="8"/>
      <c r="H273" s="8"/>
      <c r="I273" s="8"/>
      <c r="J273" s="8"/>
    </row>
    <row r="274">
      <c r="C274" s="8"/>
      <c r="D274" s="8"/>
      <c r="E274" s="8"/>
      <c r="F274" s="8"/>
      <c r="G274" s="8"/>
      <c r="H274" s="8"/>
      <c r="I274" s="8"/>
      <c r="J274" s="8"/>
    </row>
    <row r="275">
      <c r="C275" s="8"/>
      <c r="D275" s="8"/>
      <c r="E275" s="8"/>
      <c r="F275" s="8"/>
      <c r="G275" s="8"/>
      <c r="H275" s="8"/>
      <c r="I275" s="8"/>
      <c r="J275" s="8"/>
    </row>
    <row r="276">
      <c r="C276" s="8"/>
      <c r="D276" s="8"/>
      <c r="E276" s="8"/>
      <c r="F276" s="8"/>
      <c r="G276" s="8"/>
      <c r="H276" s="8"/>
      <c r="I276" s="8"/>
      <c r="J276" s="8"/>
    </row>
    <row r="277">
      <c r="C277" s="8"/>
      <c r="D277" s="8"/>
      <c r="E277" s="8"/>
      <c r="F277" s="8"/>
      <c r="G277" s="8"/>
      <c r="H277" s="8"/>
      <c r="I277" s="8"/>
      <c r="J277" s="8"/>
    </row>
    <row r="278">
      <c r="C278" s="8"/>
      <c r="D278" s="8"/>
      <c r="E278" s="8"/>
      <c r="F278" s="8"/>
      <c r="G278" s="8"/>
      <c r="H278" s="8"/>
      <c r="I278" s="8"/>
      <c r="J278" s="8"/>
    </row>
    <row r="279">
      <c r="C279" s="8"/>
      <c r="D279" s="8"/>
      <c r="E279" s="8"/>
      <c r="F279" s="8"/>
      <c r="G279" s="8"/>
      <c r="H279" s="8"/>
      <c r="I279" s="8"/>
      <c r="J279" s="8"/>
    </row>
    <row r="280">
      <c r="C280" s="8"/>
      <c r="D280" s="8"/>
      <c r="E280" s="8"/>
      <c r="F280" s="8"/>
      <c r="G280" s="8"/>
      <c r="H280" s="8"/>
      <c r="I280" s="8"/>
      <c r="J280" s="8"/>
    </row>
    <row r="281">
      <c r="C281" s="8"/>
      <c r="D281" s="8"/>
      <c r="E281" s="8"/>
      <c r="F281" s="8"/>
      <c r="G281" s="8"/>
      <c r="H281" s="8"/>
      <c r="I281" s="8"/>
      <c r="J281" s="8"/>
    </row>
    <row r="282">
      <c r="C282" s="8"/>
      <c r="D282" s="8"/>
      <c r="E282" s="8"/>
      <c r="F282" s="8"/>
      <c r="G282" s="8"/>
      <c r="H282" s="8"/>
      <c r="I282" s="8"/>
      <c r="J282" s="8"/>
    </row>
    <row r="283">
      <c r="C283" s="8"/>
      <c r="D283" s="8"/>
      <c r="E283" s="8"/>
      <c r="F283" s="8"/>
      <c r="G283" s="8"/>
      <c r="H283" s="8"/>
      <c r="I283" s="8"/>
      <c r="J283" s="8"/>
    </row>
    <row r="284">
      <c r="C284" s="8"/>
      <c r="D284" s="8"/>
      <c r="E284" s="8"/>
      <c r="F284" s="8"/>
      <c r="G284" s="8"/>
      <c r="H284" s="8"/>
      <c r="I284" s="8"/>
      <c r="J284" s="8"/>
    </row>
    <row r="285">
      <c r="C285" s="8"/>
      <c r="D285" s="8"/>
      <c r="E285" s="8"/>
      <c r="F285" s="8"/>
      <c r="G285" s="8"/>
      <c r="H285" s="8"/>
      <c r="I285" s="8"/>
      <c r="J285" s="8"/>
    </row>
    <row r="286">
      <c r="C286" s="8"/>
      <c r="D286" s="8"/>
      <c r="E286" s="8"/>
      <c r="F286" s="8"/>
      <c r="G286" s="8"/>
      <c r="H286" s="8"/>
      <c r="I286" s="8"/>
      <c r="J286" s="8"/>
    </row>
    <row r="287">
      <c r="C287" s="8"/>
      <c r="D287" s="8"/>
      <c r="E287" s="8"/>
      <c r="F287" s="8"/>
      <c r="G287" s="8"/>
      <c r="H287" s="8"/>
      <c r="I287" s="8"/>
      <c r="J287" s="8"/>
    </row>
    <row r="288">
      <c r="C288" s="8"/>
      <c r="D288" s="8"/>
      <c r="E288" s="8"/>
      <c r="F288" s="8"/>
      <c r="G288" s="8"/>
      <c r="H288" s="8"/>
      <c r="I288" s="8"/>
      <c r="J288" s="8"/>
    </row>
    <row r="289">
      <c r="C289" s="8"/>
      <c r="D289" s="8"/>
      <c r="E289" s="8"/>
      <c r="F289" s="8"/>
      <c r="G289" s="8"/>
      <c r="H289" s="8"/>
      <c r="I289" s="8"/>
      <c r="J289" s="8"/>
    </row>
    <row r="290">
      <c r="C290" s="8"/>
      <c r="D290" s="8"/>
      <c r="E290" s="8"/>
      <c r="F290" s="8"/>
      <c r="G290" s="8"/>
      <c r="H290" s="8"/>
      <c r="I290" s="8"/>
      <c r="J290" s="8"/>
    </row>
    <row r="291">
      <c r="C291" s="8"/>
      <c r="D291" s="8"/>
      <c r="E291" s="8"/>
      <c r="F291" s="8"/>
      <c r="G291" s="8"/>
      <c r="H291" s="8"/>
      <c r="I291" s="8"/>
      <c r="J291" s="8"/>
    </row>
    <row r="292">
      <c r="C292" s="8"/>
      <c r="D292" s="8"/>
      <c r="E292" s="8"/>
      <c r="F292" s="8"/>
      <c r="G292" s="8"/>
      <c r="H292" s="8"/>
      <c r="I292" s="8"/>
      <c r="J292" s="8"/>
    </row>
    <row r="293">
      <c r="C293" s="8"/>
      <c r="D293" s="8"/>
      <c r="E293" s="8"/>
      <c r="F293" s="8"/>
      <c r="G293" s="8"/>
      <c r="H293" s="8"/>
      <c r="I293" s="8"/>
      <c r="J293" s="8"/>
    </row>
    <row r="294">
      <c r="C294" s="8"/>
      <c r="D294" s="8"/>
      <c r="E294" s="8"/>
      <c r="F294" s="8"/>
      <c r="G294" s="8"/>
      <c r="H294" s="8"/>
      <c r="I294" s="8"/>
      <c r="J294" s="8"/>
    </row>
    <row r="295">
      <c r="C295" s="8"/>
      <c r="D295" s="8"/>
      <c r="E295" s="8"/>
      <c r="F295" s="8"/>
      <c r="G295" s="8"/>
      <c r="H295" s="8"/>
      <c r="I295" s="8"/>
      <c r="J295" s="8"/>
    </row>
    <row r="296">
      <c r="C296" s="8"/>
      <c r="D296" s="8"/>
      <c r="E296" s="8"/>
      <c r="F296" s="8"/>
      <c r="G296" s="8"/>
      <c r="H296" s="8"/>
      <c r="I296" s="8"/>
      <c r="J296" s="8"/>
    </row>
    <row r="297">
      <c r="C297" s="8"/>
      <c r="D297" s="8"/>
      <c r="E297" s="8"/>
      <c r="F297" s="8"/>
      <c r="G297" s="8"/>
      <c r="H297" s="8"/>
      <c r="I297" s="8"/>
      <c r="J297" s="8"/>
    </row>
    <row r="298">
      <c r="C298" s="8"/>
      <c r="D298" s="8"/>
      <c r="E298" s="8"/>
      <c r="F298" s="8"/>
      <c r="G298" s="8"/>
      <c r="H298" s="8"/>
      <c r="I298" s="8"/>
      <c r="J298" s="8"/>
    </row>
    <row r="299">
      <c r="C299" s="8"/>
      <c r="D299" s="8"/>
      <c r="E299" s="8"/>
      <c r="F299" s="8"/>
      <c r="G299" s="8"/>
      <c r="H299" s="8"/>
      <c r="I299" s="8"/>
      <c r="J299" s="8"/>
    </row>
    <row r="300">
      <c r="C300" s="8"/>
      <c r="D300" s="8"/>
      <c r="E300" s="8"/>
      <c r="F300" s="8"/>
      <c r="G300" s="8"/>
      <c r="H300" s="8"/>
      <c r="I300" s="8"/>
      <c r="J300" s="8"/>
    </row>
    <row r="301">
      <c r="C301" s="8"/>
      <c r="D301" s="8"/>
      <c r="E301" s="8"/>
      <c r="F301" s="8"/>
      <c r="G301" s="8"/>
      <c r="H301" s="8"/>
      <c r="I301" s="8"/>
      <c r="J301" s="8"/>
    </row>
    <row r="302">
      <c r="C302" s="8"/>
      <c r="D302" s="8"/>
      <c r="E302" s="8"/>
      <c r="F302" s="8"/>
      <c r="G302" s="8"/>
      <c r="H302" s="8"/>
      <c r="I302" s="8"/>
      <c r="J302" s="8"/>
    </row>
    <row r="303">
      <c r="C303" s="8"/>
      <c r="D303" s="8"/>
      <c r="E303" s="8"/>
      <c r="F303" s="8"/>
      <c r="G303" s="8"/>
      <c r="H303" s="8"/>
      <c r="I303" s="8"/>
      <c r="J303" s="8"/>
    </row>
    <row r="304">
      <c r="C304" s="8"/>
      <c r="D304" s="8"/>
      <c r="E304" s="8"/>
      <c r="F304" s="8"/>
      <c r="G304" s="8"/>
      <c r="H304" s="8"/>
      <c r="I304" s="8"/>
      <c r="J304" s="8"/>
    </row>
    <row r="305">
      <c r="C305" s="8"/>
      <c r="D305" s="8"/>
      <c r="E305" s="8"/>
      <c r="F305" s="8"/>
      <c r="G305" s="8"/>
      <c r="H305" s="8"/>
      <c r="I305" s="8"/>
      <c r="J305" s="8"/>
    </row>
    <row r="306">
      <c r="C306" s="8"/>
      <c r="D306" s="8"/>
      <c r="E306" s="8"/>
      <c r="F306" s="8"/>
      <c r="G306" s="8"/>
      <c r="H306" s="8"/>
      <c r="I306" s="8"/>
      <c r="J306" s="8"/>
    </row>
    <row r="307">
      <c r="C307" s="8"/>
      <c r="D307" s="8"/>
      <c r="E307" s="8"/>
      <c r="F307" s="8"/>
      <c r="G307" s="8"/>
      <c r="H307" s="8"/>
      <c r="I307" s="8"/>
      <c r="J307" s="8"/>
    </row>
    <row r="308">
      <c r="C308" s="8"/>
      <c r="D308" s="8"/>
      <c r="E308" s="8"/>
      <c r="F308" s="8"/>
      <c r="G308" s="8"/>
      <c r="H308" s="8"/>
      <c r="I308" s="8"/>
      <c r="J308" s="8"/>
    </row>
    <row r="309">
      <c r="C309" s="8"/>
      <c r="D309" s="8"/>
      <c r="E309" s="8"/>
      <c r="F309" s="8"/>
      <c r="G309" s="8"/>
      <c r="H309" s="8"/>
      <c r="I309" s="8"/>
      <c r="J309" s="8"/>
    </row>
    <row r="310">
      <c r="C310" s="8"/>
      <c r="D310" s="8"/>
      <c r="E310" s="8"/>
      <c r="F310" s="8"/>
      <c r="G310" s="8"/>
      <c r="H310" s="8"/>
      <c r="I310" s="8"/>
      <c r="J310" s="8"/>
    </row>
    <row r="311">
      <c r="C311" s="8"/>
      <c r="D311" s="8"/>
      <c r="E311" s="8"/>
      <c r="F311" s="8"/>
      <c r="G311" s="8"/>
      <c r="H311" s="8"/>
      <c r="I311" s="8"/>
      <c r="J311" s="8"/>
    </row>
    <row r="312">
      <c r="C312" s="8"/>
      <c r="D312" s="8"/>
      <c r="E312" s="8"/>
      <c r="F312" s="8"/>
      <c r="G312" s="8"/>
      <c r="H312" s="8"/>
      <c r="I312" s="8"/>
      <c r="J312" s="8"/>
    </row>
    <row r="313">
      <c r="C313" s="8"/>
      <c r="D313" s="8"/>
      <c r="E313" s="8"/>
      <c r="F313" s="8"/>
      <c r="G313" s="8"/>
      <c r="H313" s="8"/>
      <c r="I313" s="8"/>
      <c r="J313" s="8"/>
    </row>
    <row r="314">
      <c r="C314" s="8"/>
      <c r="D314" s="8"/>
      <c r="E314" s="8"/>
      <c r="F314" s="8"/>
      <c r="G314" s="8"/>
      <c r="H314" s="8"/>
      <c r="I314" s="8"/>
      <c r="J314" s="8"/>
    </row>
    <row r="315">
      <c r="C315" s="8"/>
      <c r="D315" s="8"/>
      <c r="E315" s="8"/>
      <c r="F315" s="8"/>
      <c r="G315" s="8"/>
      <c r="H315" s="8"/>
      <c r="I315" s="8"/>
      <c r="J315" s="8"/>
    </row>
    <row r="316">
      <c r="C316" s="8"/>
      <c r="D316" s="8"/>
      <c r="E316" s="8"/>
      <c r="F316" s="8"/>
      <c r="G316" s="8"/>
      <c r="H316" s="8"/>
      <c r="I316" s="8"/>
      <c r="J316" s="8"/>
    </row>
    <row r="317">
      <c r="C317" s="8"/>
      <c r="D317" s="8"/>
      <c r="E317" s="8"/>
      <c r="F317" s="8"/>
      <c r="G317" s="8"/>
      <c r="H317" s="8"/>
      <c r="I317" s="8"/>
      <c r="J317" s="8"/>
    </row>
    <row r="318">
      <c r="C318" s="8"/>
      <c r="D318" s="8"/>
      <c r="E318" s="8"/>
      <c r="F318" s="8"/>
      <c r="G318" s="8"/>
      <c r="H318" s="8"/>
      <c r="I318" s="8"/>
      <c r="J318" s="8"/>
    </row>
    <row r="319">
      <c r="C319" s="8"/>
      <c r="D319" s="8"/>
      <c r="E319" s="8"/>
      <c r="F319" s="8"/>
      <c r="G319" s="8"/>
      <c r="H319" s="8"/>
      <c r="I319" s="8"/>
      <c r="J319" s="8"/>
    </row>
    <row r="320">
      <c r="C320" s="8"/>
      <c r="D320" s="8"/>
      <c r="E320" s="8"/>
      <c r="F320" s="8"/>
      <c r="G320" s="8"/>
      <c r="H320" s="8"/>
      <c r="I320" s="8"/>
      <c r="J320" s="8"/>
    </row>
    <row r="321">
      <c r="C321" s="8"/>
      <c r="D321" s="8"/>
      <c r="E321" s="8"/>
      <c r="F321" s="8"/>
      <c r="G321" s="8"/>
      <c r="H321" s="8"/>
      <c r="I321" s="8"/>
      <c r="J321" s="8"/>
    </row>
    <row r="322">
      <c r="C322" s="8"/>
      <c r="D322" s="8"/>
      <c r="E322" s="8"/>
      <c r="F322" s="8"/>
      <c r="G322" s="8"/>
      <c r="H322" s="8"/>
      <c r="I322" s="8"/>
      <c r="J322" s="8"/>
    </row>
    <row r="323">
      <c r="C323" s="8"/>
      <c r="D323" s="8"/>
      <c r="E323" s="8"/>
      <c r="F323" s="8"/>
      <c r="G323" s="8"/>
      <c r="H323" s="8"/>
      <c r="I323" s="8"/>
      <c r="J323" s="8"/>
    </row>
    <row r="324">
      <c r="C324" s="8"/>
      <c r="D324" s="8"/>
      <c r="E324" s="8"/>
      <c r="F324" s="8"/>
      <c r="G324" s="8"/>
      <c r="H324" s="8"/>
      <c r="I324" s="8"/>
      <c r="J324" s="8"/>
    </row>
    <row r="325">
      <c r="C325" s="8"/>
      <c r="D325" s="8"/>
      <c r="E325" s="8"/>
      <c r="F325" s="8"/>
      <c r="G325" s="8"/>
      <c r="H325" s="8"/>
      <c r="I325" s="8"/>
      <c r="J325" s="8"/>
    </row>
    <row r="326">
      <c r="C326" s="8"/>
      <c r="D326" s="8"/>
      <c r="E326" s="8"/>
      <c r="F326" s="8"/>
      <c r="G326" s="8"/>
      <c r="H326" s="8"/>
      <c r="I326" s="8"/>
      <c r="J326" s="8"/>
    </row>
    <row r="327">
      <c r="C327" s="8"/>
      <c r="D327" s="8"/>
      <c r="E327" s="8"/>
      <c r="F327" s="8"/>
      <c r="G327" s="8"/>
      <c r="H327" s="8"/>
      <c r="I327" s="8"/>
      <c r="J327" s="8"/>
    </row>
    <row r="328">
      <c r="C328" s="8"/>
      <c r="D328" s="8"/>
      <c r="E328" s="8"/>
      <c r="F328" s="8"/>
      <c r="G328" s="8"/>
      <c r="H328" s="8"/>
      <c r="I328" s="8"/>
      <c r="J328" s="8"/>
    </row>
    <row r="329">
      <c r="C329" s="8"/>
      <c r="D329" s="8"/>
      <c r="E329" s="8"/>
      <c r="F329" s="8"/>
      <c r="G329" s="8"/>
      <c r="H329" s="8"/>
      <c r="I329" s="8"/>
      <c r="J329" s="8"/>
    </row>
    <row r="330">
      <c r="C330" s="8"/>
      <c r="D330" s="8"/>
      <c r="E330" s="8"/>
      <c r="F330" s="8"/>
      <c r="G330" s="8"/>
      <c r="H330" s="8"/>
      <c r="I330" s="8"/>
      <c r="J330" s="8"/>
    </row>
    <row r="331">
      <c r="C331" s="8"/>
      <c r="D331" s="8"/>
      <c r="E331" s="8"/>
      <c r="F331" s="8"/>
      <c r="G331" s="8"/>
      <c r="H331" s="8"/>
      <c r="I331" s="8"/>
      <c r="J331" s="8"/>
    </row>
    <row r="332">
      <c r="C332" s="8"/>
      <c r="D332" s="8"/>
      <c r="E332" s="8"/>
      <c r="F332" s="8"/>
      <c r="G332" s="8"/>
      <c r="H332" s="8"/>
      <c r="I332" s="8"/>
      <c r="J332" s="8"/>
    </row>
    <row r="333">
      <c r="C333" s="8"/>
      <c r="D333" s="8"/>
      <c r="E333" s="8"/>
      <c r="F333" s="8"/>
      <c r="G333" s="8"/>
      <c r="H333" s="8"/>
      <c r="I333" s="8"/>
      <c r="J333" s="8"/>
    </row>
    <row r="334">
      <c r="C334" s="8"/>
      <c r="D334" s="8"/>
      <c r="E334" s="8"/>
      <c r="F334" s="8"/>
      <c r="G334" s="8"/>
      <c r="H334" s="8"/>
      <c r="I334" s="8"/>
      <c r="J334" s="8"/>
    </row>
    <row r="335">
      <c r="C335" s="8"/>
      <c r="D335" s="8"/>
      <c r="E335" s="8"/>
      <c r="F335" s="8"/>
      <c r="G335" s="8"/>
      <c r="H335" s="8"/>
      <c r="I335" s="8"/>
      <c r="J335" s="8"/>
    </row>
    <row r="336">
      <c r="C336" s="8"/>
      <c r="D336" s="8"/>
      <c r="E336" s="8"/>
      <c r="F336" s="8"/>
      <c r="G336" s="8"/>
      <c r="H336" s="8"/>
      <c r="I336" s="8"/>
      <c r="J336" s="8"/>
    </row>
    <row r="337">
      <c r="C337" s="8"/>
      <c r="D337" s="8"/>
      <c r="E337" s="8"/>
      <c r="F337" s="8"/>
      <c r="G337" s="8"/>
      <c r="H337" s="8"/>
      <c r="I337" s="8"/>
      <c r="J337" s="8"/>
    </row>
    <row r="338">
      <c r="C338" s="8"/>
      <c r="D338" s="8"/>
      <c r="E338" s="8"/>
      <c r="F338" s="8"/>
      <c r="G338" s="8"/>
      <c r="H338" s="8"/>
      <c r="I338" s="8"/>
      <c r="J338" s="8"/>
    </row>
    <row r="339">
      <c r="C339" s="8"/>
      <c r="D339" s="8"/>
      <c r="E339" s="8"/>
      <c r="F339" s="8"/>
      <c r="G339" s="8"/>
      <c r="H339" s="8"/>
      <c r="I339" s="8"/>
      <c r="J339" s="8"/>
    </row>
    <row r="340">
      <c r="C340" s="8"/>
      <c r="D340" s="8"/>
      <c r="E340" s="8"/>
      <c r="F340" s="8"/>
      <c r="G340" s="8"/>
      <c r="H340" s="8"/>
      <c r="I340" s="8"/>
      <c r="J340" s="8"/>
    </row>
    <row r="341">
      <c r="C341" s="8"/>
      <c r="D341" s="8"/>
      <c r="E341" s="8"/>
      <c r="F341" s="8"/>
      <c r="G341" s="8"/>
      <c r="H341" s="8"/>
      <c r="I341" s="8"/>
      <c r="J341" s="8"/>
    </row>
    <row r="342">
      <c r="C342" s="8"/>
      <c r="D342" s="8"/>
      <c r="E342" s="8"/>
      <c r="F342" s="8"/>
      <c r="G342" s="8"/>
      <c r="H342" s="8"/>
      <c r="I342" s="8"/>
      <c r="J342" s="8"/>
    </row>
    <row r="343">
      <c r="C343" s="8"/>
      <c r="D343" s="8"/>
      <c r="E343" s="8"/>
      <c r="F343" s="8"/>
      <c r="G343" s="8"/>
      <c r="H343" s="8"/>
      <c r="I343" s="8"/>
      <c r="J343" s="8"/>
    </row>
    <row r="344">
      <c r="C344" s="8"/>
      <c r="D344" s="8"/>
      <c r="E344" s="8"/>
      <c r="F344" s="8"/>
      <c r="G344" s="8"/>
      <c r="H344" s="8"/>
      <c r="I344" s="8"/>
      <c r="J344" s="8"/>
    </row>
    <row r="345">
      <c r="C345" s="8"/>
      <c r="D345" s="8"/>
      <c r="E345" s="8"/>
      <c r="F345" s="8"/>
      <c r="G345" s="8"/>
      <c r="H345" s="8"/>
      <c r="I345" s="8"/>
      <c r="J345" s="8"/>
    </row>
    <row r="346">
      <c r="C346" s="8"/>
      <c r="D346" s="8"/>
      <c r="E346" s="8"/>
      <c r="F346" s="8"/>
      <c r="G346" s="8"/>
      <c r="H346" s="8"/>
      <c r="I346" s="8"/>
      <c r="J346" s="8"/>
    </row>
    <row r="347">
      <c r="C347" s="8"/>
      <c r="D347" s="8"/>
      <c r="E347" s="8"/>
      <c r="F347" s="8"/>
      <c r="G347" s="8"/>
      <c r="H347" s="8"/>
      <c r="I347" s="8"/>
      <c r="J347" s="8"/>
    </row>
    <row r="348">
      <c r="C348" s="8"/>
      <c r="D348" s="8"/>
      <c r="E348" s="8"/>
      <c r="F348" s="8"/>
      <c r="G348" s="8"/>
      <c r="H348" s="8"/>
      <c r="I348" s="8"/>
      <c r="J348" s="8"/>
    </row>
    <row r="349">
      <c r="C349" s="8"/>
      <c r="D349" s="8"/>
      <c r="E349" s="8"/>
      <c r="F349" s="8"/>
      <c r="G349" s="8"/>
      <c r="H349" s="8"/>
      <c r="I349" s="8"/>
      <c r="J349" s="8"/>
    </row>
    <row r="350">
      <c r="C350" s="8"/>
      <c r="D350" s="8"/>
      <c r="E350" s="8"/>
      <c r="F350" s="8"/>
      <c r="G350" s="8"/>
      <c r="H350" s="8"/>
      <c r="I350" s="8"/>
      <c r="J350" s="8"/>
    </row>
    <row r="351">
      <c r="C351" s="8"/>
      <c r="D351" s="8"/>
      <c r="E351" s="8"/>
      <c r="F351" s="8"/>
      <c r="G351" s="8"/>
      <c r="H351" s="8"/>
      <c r="I351" s="8"/>
      <c r="J351" s="8"/>
    </row>
    <row r="352">
      <c r="C352" s="8"/>
      <c r="D352" s="8"/>
      <c r="E352" s="8"/>
      <c r="F352" s="8"/>
      <c r="G352" s="8"/>
      <c r="H352" s="8"/>
      <c r="I352" s="8"/>
      <c r="J352" s="8"/>
    </row>
    <row r="353">
      <c r="C353" s="8"/>
      <c r="D353" s="8"/>
      <c r="E353" s="8"/>
      <c r="F353" s="8"/>
      <c r="G353" s="8"/>
      <c r="H353" s="8"/>
      <c r="I353" s="8"/>
      <c r="J353" s="8"/>
    </row>
    <row r="354">
      <c r="C354" s="8"/>
      <c r="D354" s="8"/>
      <c r="E354" s="8"/>
      <c r="F354" s="8"/>
      <c r="G354" s="8"/>
      <c r="H354" s="8"/>
      <c r="I354" s="8"/>
      <c r="J354" s="8"/>
    </row>
    <row r="355">
      <c r="C355" s="8"/>
      <c r="D355" s="8"/>
      <c r="E355" s="8"/>
      <c r="F355" s="8"/>
      <c r="G355" s="8"/>
      <c r="H355" s="8"/>
      <c r="I355" s="8"/>
      <c r="J355" s="8"/>
    </row>
    <row r="356">
      <c r="C356" s="8"/>
      <c r="D356" s="8"/>
      <c r="E356" s="8"/>
      <c r="F356" s="8"/>
      <c r="G356" s="8"/>
      <c r="H356" s="8"/>
      <c r="I356" s="8"/>
      <c r="J356" s="8"/>
    </row>
    <row r="357">
      <c r="C357" s="8"/>
      <c r="D357" s="8"/>
      <c r="E357" s="8"/>
      <c r="F357" s="8"/>
      <c r="G357" s="8"/>
      <c r="H357" s="8"/>
      <c r="I357" s="8"/>
      <c r="J357" s="8"/>
    </row>
    <row r="358">
      <c r="C358" s="8"/>
      <c r="D358" s="8"/>
      <c r="E358" s="8"/>
      <c r="F358" s="8"/>
      <c r="G358" s="8"/>
      <c r="H358" s="8"/>
      <c r="I358" s="8"/>
      <c r="J358" s="8"/>
    </row>
    <row r="359">
      <c r="C359" s="8"/>
      <c r="D359" s="8"/>
      <c r="E359" s="8"/>
      <c r="F359" s="8"/>
      <c r="G359" s="8"/>
      <c r="H359" s="8"/>
      <c r="I359" s="8"/>
      <c r="J359" s="8"/>
    </row>
    <row r="360">
      <c r="C360" s="8"/>
      <c r="D360" s="8"/>
      <c r="E360" s="8"/>
      <c r="F360" s="8"/>
      <c r="G360" s="8"/>
      <c r="H360" s="8"/>
      <c r="I360" s="8"/>
      <c r="J360" s="8"/>
    </row>
    <row r="361">
      <c r="C361" s="8"/>
      <c r="D361" s="8"/>
      <c r="E361" s="8"/>
      <c r="F361" s="8"/>
      <c r="G361" s="8"/>
      <c r="H361" s="8"/>
      <c r="I361" s="8"/>
      <c r="J361" s="8"/>
    </row>
    <row r="362">
      <c r="C362" s="8"/>
      <c r="D362" s="8"/>
      <c r="E362" s="8"/>
      <c r="F362" s="8"/>
      <c r="G362" s="8"/>
      <c r="H362" s="8"/>
      <c r="I362" s="8"/>
      <c r="J362" s="8"/>
    </row>
    <row r="363">
      <c r="C363" s="8"/>
      <c r="D363" s="8"/>
      <c r="E363" s="8"/>
      <c r="F363" s="8"/>
      <c r="G363" s="8"/>
      <c r="H363" s="8"/>
      <c r="I363" s="8"/>
      <c r="J363" s="8"/>
    </row>
    <row r="364">
      <c r="C364" s="8"/>
      <c r="D364" s="8"/>
      <c r="E364" s="8"/>
      <c r="F364" s="8"/>
      <c r="G364" s="8"/>
      <c r="H364" s="8"/>
      <c r="I364" s="8"/>
      <c r="J364" s="8"/>
    </row>
    <row r="365">
      <c r="C365" s="8"/>
      <c r="D365" s="8"/>
      <c r="E365" s="8"/>
      <c r="F365" s="8"/>
      <c r="G365" s="8"/>
      <c r="H365" s="8"/>
      <c r="I365" s="8"/>
      <c r="J365" s="8"/>
    </row>
    <row r="366">
      <c r="C366" s="8"/>
      <c r="D366" s="8"/>
      <c r="E366" s="8"/>
      <c r="F366" s="8"/>
      <c r="G366" s="8"/>
      <c r="H366" s="8"/>
      <c r="I366" s="8"/>
      <c r="J366" s="8"/>
    </row>
    <row r="367">
      <c r="C367" s="8"/>
      <c r="D367" s="8"/>
      <c r="E367" s="8"/>
      <c r="F367" s="8"/>
      <c r="G367" s="8"/>
      <c r="H367" s="8"/>
      <c r="I367" s="8"/>
      <c r="J367" s="8"/>
    </row>
    <row r="368">
      <c r="C368" s="8"/>
      <c r="D368" s="8"/>
      <c r="E368" s="8"/>
      <c r="F368" s="8"/>
      <c r="G368" s="8"/>
      <c r="H368" s="8"/>
      <c r="I368" s="8"/>
      <c r="J368" s="8"/>
    </row>
    <row r="369">
      <c r="C369" s="8"/>
      <c r="D369" s="8"/>
      <c r="E369" s="8"/>
      <c r="F369" s="8"/>
      <c r="G369" s="8"/>
      <c r="H369" s="8"/>
      <c r="I369" s="8"/>
      <c r="J369" s="8"/>
    </row>
    <row r="370">
      <c r="C370" s="8"/>
      <c r="D370" s="8"/>
      <c r="E370" s="8"/>
      <c r="F370" s="8"/>
      <c r="G370" s="8"/>
      <c r="H370" s="8"/>
      <c r="I370" s="8"/>
      <c r="J370" s="8"/>
    </row>
    <row r="371">
      <c r="C371" s="8"/>
      <c r="D371" s="8"/>
      <c r="E371" s="8"/>
      <c r="F371" s="8"/>
      <c r="G371" s="8"/>
      <c r="H371" s="8"/>
      <c r="I371" s="8"/>
      <c r="J371" s="8"/>
    </row>
    <row r="372">
      <c r="C372" s="8"/>
      <c r="D372" s="8"/>
      <c r="E372" s="8"/>
      <c r="F372" s="8"/>
      <c r="G372" s="8"/>
      <c r="H372" s="8"/>
      <c r="I372" s="8"/>
      <c r="J372" s="8"/>
    </row>
    <row r="373">
      <c r="C373" s="8"/>
      <c r="D373" s="8"/>
      <c r="E373" s="8"/>
      <c r="F373" s="8"/>
      <c r="G373" s="8"/>
      <c r="H373" s="8"/>
      <c r="I373" s="8"/>
      <c r="J373" s="8"/>
    </row>
    <row r="374">
      <c r="C374" s="8"/>
      <c r="D374" s="8"/>
      <c r="E374" s="8"/>
      <c r="F374" s="8"/>
      <c r="G374" s="8"/>
      <c r="H374" s="8"/>
      <c r="I374" s="8"/>
      <c r="J374" s="8"/>
    </row>
    <row r="375">
      <c r="C375" s="8"/>
      <c r="D375" s="8"/>
      <c r="E375" s="8"/>
      <c r="F375" s="8"/>
      <c r="G375" s="8"/>
      <c r="H375" s="8"/>
      <c r="I375" s="8"/>
      <c r="J375" s="8"/>
    </row>
    <row r="376">
      <c r="C376" s="8"/>
      <c r="D376" s="8"/>
      <c r="E376" s="8"/>
      <c r="F376" s="8"/>
      <c r="G376" s="8"/>
      <c r="H376" s="8"/>
      <c r="I376" s="8"/>
      <c r="J376" s="8"/>
    </row>
    <row r="377">
      <c r="C377" s="8"/>
      <c r="D377" s="8"/>
      <c r="E377" s="8"/>
      <c r="F377" s="8"/>
      <c r="G377" s="8"/>
      <c r="H377" s="8"/>
      <c r="I377" s="8"/>
      <c r="J377" s="8"/>
    </row>
    <row r="378">
      <c r="C378" s="8"/>
      <c r="D378" s="8"/>
      <c r="E378" s="8"/>
      <c r="F378" s="8"/>
      <c r="G378" s="8"/>
      <c r="H378" s="8"/>
      <c r="I378" s="8"/>
      <c r="J378" s="8"/>
    </row>
    <row r="379">
      <c r="C379" s="8"/>
      <c r="D379" s="8"/>
      <c r="E379" s="8"/>
      <c r="F379" s="8"/>
      <c r="G379" s="8"/>
      <c r="H379" s="8"/>
      <c r="I379" s="8"/>
      <c r="J379" s="8"/>
    </row>
    <row r="380">
      <c r="C380" s="8"/>
      <c r="D380" s="8"/>
      <c r="E380" s="8"/>
      <c r="F380" s="8"/>
      <c r="G380" s="8"/>
      <c r="H380" s="8"/>
      <c r="I380" s="8"/>
      <c r="J380" s="8"/>
    </row>
    <row r="381">
      <c r="C381" s="8"/>
      <c r="D381" s="8"/>
      <c r="E381" s="8"/>
      <c r="F381" s="8"/>
      <c r="G381" s="8"/>
      <c r="H381" s="8"/>
      <c r="I381" s="8"/>
      <c r="J381" s="8"/>
    </row>
    <row r="382">
      <c r="C382" s="8"/>
      <c r="D382" s="8"/>
      <c r="E382" s="8"/>
      <c r="F382" s="8"/>
      <c r="G382" s="8"/>
      <c r="H382" s="8"/>
      <c r="I382" s="8"/>
      <c r="J382" s="8"/>
    </row>
    <row r="383">
      <c r="C383" s="8"/>
      <c r="D383" s="8"/>
      <c r="E383" s="8"/>
      <c r="F383" s="8"/>
      <c r="G383" s="8"/>
      <c r="H383" s="8"/>
      <c r="I383" s="8"/>
      <c r="J383" s="8"/>
    </row>
    <row r="384">
      <c r="C384" s="8"/>
      <c r="D384" s="8"/>
      <c r="E384" s="8"/>
      <c r="F384" s="8"/>
      <c r="G384" s="8"/>
      <c r="H384" s="8"/>
      <c r="I384" s="8"/>
      <c r="J384" s="8"/>
    </row>
    <row r="385">
      <c r="C385" s="8"/>
      <c r="D385" s="8"/>
      <c r="E385" s="8"/>
      <c r="F385" s="8"/>
      <c r="G385" s="8"/>
      <c r="H385" s="8"/>
      <c r="I385" s="8"/>
      <c r="J385" s="8"/>
    </row>
    <row r="386">
      <c r="C386" s="8"/>
      <c r="D386" s="8"/>
      <c r="E386" s="8"/>
      <c r="F386" s="8"/>
      <c r="G386" s="8"/>
      <c r="H386" s="8"/>
      <c r="I386" s="8"/>
      <c r="J386" s="8"/>
    </row>
    <row r="387">
      <c r="C387" s="8"/>
      <c r="D387" s="8"/>
      <c r="E387" s="8"/>
      <c r="F387" s="8"/>
      <c r="G387" s="8"/>
      <c r="H387" s="8"/>
      <c r="I387" s="8"/>
      <c r="J387" s="8"/>
    </row>
    <row r="388">
      <c r="C388" s="8"/>
      <c r="D388" s="8"/>
      <c r="E388" s="8"/>
      <c r="F388" s="8"/>
      <c r="G388" s="8"/>
      <c r="H388" s="8"/>
      <c r="I388" s="8"/>
      <c r="J388" s="8"/>
    </row>
    <row r="389">
      <c r="C389" s="8"/>
      <c r="D389" s="8"/>
      <c r="E389" s="8"/>
      <c r="F389" s="8"/>
      <c r="G389" s="8"/>
      <c r="H389" s="8"/>
      <c r="I389" s="8"/>
      <c r="J389" s="8"/>
    </row>
    <row r="390">
      <c r="C390" s="8"/>
      <c r="D390" s="8"/>
      <c r="E390" s="8"/>
      <c r="F390" s="8"/>
      <c r="G390" s="8"/>
      <c r="H390" s="8"/>
      <c r="I390" s="8"/>
      <c r="J390" s="8"/>
    </row>
    <row r="391">
      <c r="C391" s="8"/>
      <c r="D391" s="8"/>
      <c r="E391" s="8"/>
      <c r="F391" s="8"/>
      <c r="G391" s="8"/>
      <c r="H391" s="8"/>
      <c r="I391" s="8"/>
      <c r="J391" s="8"/>
    </row>
    <row r="392">
      <c r="C392" s="8"/>
      <c r="D392" s="8"/>
      <c r="E392" s="8"/>
      <c r="F392" s="8"/>
      <c r="G392" s="8"/>
      <c r="H392" s="8"/>
      <c r="I392" s="8"/>
      <c r="J392" s="8"/>
    </row>
    <row r="393">
      <c r="C393" s="8"/>
      <c r="D393" s="8"/>
      <c r="E393" s="8"/>
      <c r="F393" s="8"/>
      <c r="G393" s="8"/>
      <c r="H393" s="8"/>
      <c r="I393" s="8"/>
      <c r="J393" s="8"/>
    </row>
    <row r="394">
      <c r="C394" s="8"/>
      <c r="D394" s="8"/>
      <c r="E394" s="8"/>
      <c r="F394" s="8"/>
      <c r="G394" s="8"/>
      <c r="H394" s="8"/>
      <c r="I394" s="8"/>
      <c r="J394" s="8"/>
    </row>
    <row r="395">
      <c r="C395" s="8"/>
      <c r="D395" s="8"/>
      <c r="E395" s="8"/>
      <c r="F395" s="8"/>
      <c r="G395" s="8"/>
      <c r="H395" s="8"/>
      <c r="I395" s="8"/>
      <c r="J395" s="8"/>
    </row>
    <row r="396">
      <c r="C396" s="8"/>
      <c r="D396" s="8"/>
      <c r="E396" s="8"/>
      <c r="F396" s="8"/>
      <c r="G396" s="8"/>
      <c r="H396" s="8"/>
      <c r="I396" s="8"/>
      <c r="J396" s="8"/>
    </row>
    <row r="397">
      <c r="C397" s="8"/>
      <c r="D397" s="8"/>
      <c r="E397" s="8"/>
      <c r="F397" s="8"/>
      <c r="G397" s="8"/>
      <c r="H397" s="8"/>
      <c r="I397" s="8"/>
      <c r="J397" s="8"/>
    </row>
    <row r="398">
      <c r="C398" s="8"/>
      <c r="D398" s="8"/>
      <c r="E398" s="8"/>
      <c r="F398" s="8"/>
      <c r="G398" s="8"/>
      <c r="H398" s="8"/>
      <c r="I398" s="8"/>
      <c r="J398" s="8"/>
    </row>
    <row r="399">
      <c r="C399" s="8"/>
      <c r="D399" s="8"/>
      <c r="E399" s="8"/>
      <c r="F399" s="8"/>
      <c r="G399" s="8"/>
      <c r="H399" s="8"/>
      <c r="I399" s="8"/>
      <c r="J399" s="8"/>
    </row>
    <row r="400">
      <c r="C400" s="8"/>
      <c r="D400" s="8"/>
      <c r="E400" s="8"/>
      <c r="F400" s="8"/>
      <c r="G400" s="8"/>
      <c r="H400" s="8"/>
      <c r="I400" s="8"/>
      <c r="J400" s="8"/>
    </row>
    <row r="401">
      <c r="C401" s="8"/>
      <c r="D401" s="8"/>
      <c r="E401" s="8"/>
      <c r="F401" s="8"/>
      <c r="G401" s="8"/>
      <c r="H401" s="8"/>
      <c r="I401" s="8"/>
      <c r="J401" s="8"/>
    </row>
    <row r="402">
      <c r="C402" s="8"/>
      <c r="D402" s="8"/>
      <c r="E402" s="8"/>
      <c r="F402" s="8"/>
      <c r="G402" s="8"/>
      <c r="H402" s="8"/>
      <c r="I402" s="8"/>
      <c r="J402" s="8"/>
    </row>
    <row r="403">
      <c r="C403" s="8"/>
      <c r="D403" s="8"/>
      <c r="E403" s="8"/>
      <c r="F403" s="8"/>
      <c r="G403" s="8"/>
      <c r="H403" s="8"/>
      <c r="I403" s="8"/>
      <c r="J403" s="8"/>
    </row>
    <row r="404">
      <c r="C404" s="8"/>
      <c r="D404" s="8"/>
      <c r="E404" s="8"/>
      <c r="F404" s="8"/>
      <c r="G404" s="8"/>
      <c r="H404" s="8"/>
      <c r="I404" s="8"/>
      <c r="J404" s="8"/>
    </row>
    <row r="405">
      <c r="C405" s="8"/>
      <c r="D405" s="8"/>
      <c r="E405" s="8"/>
      <c r="F405" s="8"/>
      <c r="G405" s="8"/>
      <c r="H405" s="8"/>
      <c r="I405" s="8"/>
      <c r="J405" s="8"/>
    </row>
    <row r="406">
      <c r="C406" s="8"/>
      <c r="D406" s="8"/>
      <c r="E406" s="8"/>
      <c r="F406" s="8"/>
      <c r="G406" s="8"/>
      <c r="H406" s="8"/>
      <c r="I406" s="8"/>
      <c r="J406" s="8"/>
    </row>
    <row r="407">
      <c r="C407" s="8"/>
      <c r="D407" s="8"/>
      <c r="E407" s="8"/>
      <c r="F407" s="8"/>
      <c r="G407" s="8"/>
      <c r="H407" s="8"/>
      <c r="I407" s="8"/>
      <c r="J407" s="8"/>
    </row>
    <row r="408">
      <c r="C408" s="8"/>
      <c r="D408" s="8"/>
      <c r="E408" s="8"/>
      <c r="F408" s="8"/>
      <c r="G408" s="8"/>
      <c r="H408" s="8"/>
      <c r="I408" s="8"/>
      <c r="J408" s="8"/>
    </row>
    <row r="409">
      <c r="C409" s="8"/>
      <c r="D409" s="8"/>
      <c r="E409" s="8"/>
      <c r="F409" s="8"/>
      <c r="G409" s="8"/>
      <c r="H409" s="8"/>
      <c r="I409" s="8"/>
      <c r="J409" s="8"/>
    </row>
    <row r="410">
      <c r="C410" s="8"/>
      <c r="D410" s="8"/>
      <c r="E410" s="8"/>
      <c r="F410" s="8"/>
      <c r="G410" s="8"/>
      <c r="H410" s="8"/>
      <c r="I410" s="8"/>
      <c r="J410" s="8"/>
    </row>
    <row r="411">
      <c r="C411" s="8"/>
      <c r="D411" s="8"/>
      <c r="E411" s="8"/>
      <c r="F411" s="8"/>
      <c r="G411" s="8"/>
      <c r="H411" s="8"/>
      <c r="I411" s="8"/>
      <c r="J411" s="8"/>
    </row>
    <row r="412">
      <c r="C412" s="8"/>
      <c r="D412" s="8"/>
      <c r="E412" s="8"/>
      <c r="F412" s="8"/>
      <c r="G412" s="8"/>
      <c r="H412" s="8"/>
      <c r="I412" s="8"/>
      <c r="J412" s="8"/>
    </row>
    <row r="413">
      <c r="C413" s="8"/>
      <c r="D413" s="8"/>
      <c r="E413" s="8"/>
      <c r="F413" s="8"/>
      <c r="G413" s="8"/>
      <c r="H413" s="8"/>
      <c r="I413" s="8"/>
      <c r="J413" s="8"/>
    </row>
    <row r="414">
      <c r="C414" s="8"/>
      <c r="D414" s="8"/>
      <c r="E414" s="8"/>
      <c r="F414" s="8"/>
      <c r="G414" s="8"/>
      <c r="H414" s="8"/>
      <c r="I414" s="8"/>
      <c r="J414" s="8"/>
    </row>
    <row r="415">
      <c r="C415" s="8"/>
      <c r="D415" s="8"/>
      <c r="E415" s="8"/>
      <c r="F415" s="8"/>
      <c r="G415" s="8"/>
      <c r="H415" s="8"/>
      <c r="I415" s="8"/>
      <c r="J415" s="8"/>
    </row>
    <row r="416">
      <c r="C416" s="8"/>
      <c r="D416" s="8"/>
      <c r="E416" s="8"/>
      <c r="F416" s="8"/>
      <c r="G416" s="8"/>
      <c r="H416" s="8"/>
      <c r="I416" s="8"/>
      <c r="J416" s="8"/>
    </row>
    <row r="417">
      <c r="C417" s="8"/>
      <c r="D417" s="8"/>
      <c r="E417" s="8"/>
      <c r="F417" s="8"/>
      <c r="G417" s="8"/>
      <c r="H417" s="8"/>
      <c r="I417" s="8"/>
      <c r="J417" s="8"/>
    </row>
    <row r="418">
      <c r="C418" s="8"/>
      <c r="D418" s="8"/>
      <c r="E418" s="8"/>
      <c r="F418" s="8"/>
      <c r="G418" s="8"/>
      <c r="H418" s="8"/>
      <c r="I418" s="8"/>
      <c r="J418" s="8"/>
    </row>
    <row r="419">
      <c r="C419" s="8"/>
      <c r="D419" s="8"/>
      <c r="E419" s="8"/>
      <c r="F419" s="8"/>
      <c r="G419" s="8"/>
      <c r="H419" s="8"/>
      <c r="I419" s="8"/>
      <c r="J419" s="8"/>
    </row>
    <row r="420">
      <c r="C420" s="8"/>
      <c r="D420" s="8"/>
      <c r="E420" s="8"/>
      <c r="F420" s="8"/>
      <c r="G420" s="8"/>
      <c r="H420" s="8"/>
      <c r="I420" s="8"/>
      <c r="J420" s="8"/>
    </row>
    <row r="421">
      <c r="C421" s="8"/>
      <c r="D421" s="8"/>
      <c r="E421" s="8"/>
      <c r="F421" s="8"/>
      <c r="G421" s="8"/>
      <c r="H421" s="8"/>
      <c r="I421" s="8"/>
      <c r="J421" s="8"/>
    </row>
    <row r="422">
      <c r="C422" s="8"/>
      <c r="D422" s="8"/>
      <c r="E422" s="8"/>
      <c r="F422" s="8"/>
      <c r="G422" s="8"/>
      <c r="H422" s="8"/>
      <c r="I422" s="8"/>
      <c r="J422" s="8"/>
    </row>
    <row r="423">
      <c r="C423" s="8"/>
      <c r="D423" s="8"/>
      <c r="E423" s="8"/>
      <c r="F423" s="8"/>
      <c r="G423" s="8"/>
      <c r="H423" s="8"/>
      <c r="I423" s="8"/>
      <c r="J423" s="8"/>
    </row>
    <row r="424">
      <c r="C424" s="8"/>
      <c r="D424" s="8"/>
      <c r="E424" s="8"/>
      <c r="F424" s="8"/>
      <c r="G424" s="8"/>
      <c r="H424" s="8"/>
      <c r="I424" s="8"/>
      <c r="J424" s="8"/>
    </row>
    <row r="425">
      <c r="C425" s="8"/>
      <c r="D425" s="8"/>
      <c r="E425" s="8"/>
      <c r="F425" s="8"/>
      <c r="G425" s="8"/>
      <c r="H425" s="8"/>
      <c r="I425" s="8"/>
      <c r="J425" s="8"/>
    </row>
    <row r="426">
      <c r="C426" s="8"/>
      <c r="D426" s="8"/>
      <c r="E426" s="8"/>
      <c r="F426" s="8"/>
      <c r="G426" s="8"/>
      <c r="H426" s="8"/>
      <c r="I426" s="8"/>
      <c r="J426" s="8"/>
    </row>
    <row r="427">
      <c r="C427" s="8"/>
      <c r="D427" s="8"/>
      <c r="E427" s="8"/>
      <c r="F427" s="8"/>
      <c r="G427" s="8"/>
      <c r="H427" s="8"/>
      <c r="I427" s="8"/>
      <c r="J427" s="8"/>
    </row>
    <row r="428">
      <c r="C428" s="8"/>
      <c r="D428" s="8"/>
      <c r="E428" s="8"/>
      <c r="F428" s="8"/>
      <c r="G428" s="8"/>
      <c r="H428" s="8"/>
      <c r="I428" s="8"/>
      <c r="J428" s="8"/>
    </row>
    <row r="429">
      <c r="C429" s="8"/>
      <c r="D429" s="8"/>
      <c r="E429" s="8"/>
      <c r="F429" s="8"/>
      <c r="G429" s="8"/>
      <c r="H429" s="8"/>
      <c r="I429" s="8"/>
      <c r="J429" s="8"/>
    </row>
    <row r="430">
      <c r="C430" s="8"/>
      <c r="D430" s="8"/>
      <c r="E430" s="8"/>
      <c r="F430" s="8"/>
      <c r="G430" s="8"/>
      <c r="H430" s="8"/>
      <c r="I430" s="8"/>
      <c r="J430" s="8"/>
    </row>
    <row r="431">
      <c r="C431" s="8"/>
      <c r="D431" s="8"/>
      <c r="E431" s="8"/>
      <c r="F431" s="8"/>
      <c r="G431" s="8"/>
      <c r="H431" s="8"/>
      <c r="I431" s="8"/>
      <c r="J431" s="8"/>
    </row>
    <row r="432">
      <c r="C432" s="8"/>
      <c r="D432" s="8"/>
      <c r="E432" s="8"/>
      <c r="F432" s="8"/>
      <c r="G432" s="8"/>
      <c r="H432" s="8"/>
      <c r="I432" s="8"/>
      <c r="J432" s="8"/>
    </row>
    <row r="433">
      <c r="C433" s="8"/>
      <c r="D433" s="8"/>
      <c r="E433" s="8"/>
      <c r="F433" s="8"/>
      <c r="G433" s="8"/>
      <c r="H433" s="8"/>
      <c r="I433" s="8"/>
      <c r="J433" s="8"/>
    </row>
    <row r="434">
      <c r="C434" s="8"/>
      <c r="D434" s="8"/>
      <c r="E434" s="8"/>
      <c r="F434" s="8"/>
      <c r="G434" s="8"/>
      <c r="H434" s="8"/>
      <c r="I434" s="8"/>
      <c r="J434" s="8"/>
    </row>
    <row r="435">
      <c r="C435" s="8"/>
      <c r="D435" s="8"/>
      <c r="E435" s="8"/>
      <c r="F435" s="8"/>
      <c r="G435" s="8"/>
      <c r="H435" s="8"/>
      <c r="I435" s="8"/>
      <c r="J435" s="8"/>
    </row>
    <row r="436">
      <c r="C436" s="8"/>
      <c r="D436" s="8"/>
      <c r="E436" s="8"/>
      <c r="F436" s="8"/>
      <c r="G436" s="8"/>
      <c r="H436" s="8"/>
      <c r="I436" s="8"/>
      <c r="J436" s="8"/>
    </row>
    <row r="437">
      <c r="C437" s="8"/>
      <c r="D437" s="8"/>
      <c r="E437" s="8"/>
      <c r="F437" s="8"/>
      <c r="G437" s="8"/>
      <c r="H437" s="8"/>
      <c r="I437" s="8"/>
      <c r="J437" s="8"/>
    </row>
    <row r="438">
      <c r="C438" s="8"/>
      <c r="D438" s="8"/>
      <c r="E438" s="8"/>
      <c r="F438" s="8"/>
      <c r="G438" s="8"/>
      <c r="H438" s="8"/>
      <c r="I438" s="8"/>
      <c r="J438" s="8"/>
    </row>
    <row r="439">
      <c r="C439" s="8"/>
      <c r="D439" s="8"/>
      <c r="E439" s="8"/>
      <c r="F439" s="8"/>
      <c r="G439" s="8"/>
      <c r="H439" s="8"/>
      <c r="I439" s="8"/>
      <c r="J439" s="8"/>
    </row>
    <row r="440">
      <c r="C440" s="8"/>
      <c r="D440" s="8"/>
      <c r="E440" s="8"/>
      <c r="F440" s="8"/>
      <c r="G440" s="8"/>
      <c r="H440" s="8"/>
      <c r="I440" s="8"/>
      <c r="J440" s="8"/>
    </row>
    <row r="441">
      <c r="C441" s="8"/>
      <c r="D441" s="8"/>
      <c r="E441" s="8"/>
      <c r="F441" s="8"/>
      <c r="G441" s="8"/>
      <c r="H441" s="8"/>
      <c r="I441" s="8"/>
      <c r="J441" s="8"/>
    </row>
    <row r="442">
      <c r="C442" s="8"/>
      <c r="D442" s="8"/>
      <c r="E442" s="8"/>
      <c r="F442" s="8"/>
      <c r="G442" s="8"/>
      <c r="H442" s="8"/>
      <c r="I442" s="8"/>
      <c r="J442" s="8"/>
    </row>
    <row r="443">
      <c r="C443" s="8"/>
      <c r="D443" s="8"/>
      <c r="E443" s="8"/>
      <c r="F443" s="8"/>
      <c r="G443" s="8"/>
      <c r="H443" s="8"/>
      <c r="I443" s="8"/>
      <c r="J443" s="8"/>
    </row>
    <row r="444">
      <c r="C444" s="8"/>
      <c r="D444" s="8"/>
      <c r="E444" s="8"/>
      <c r="F444" s="8"/>
      <c r="G444" s="8"/>
      <c r="H444" s="8"/>
      <c r="I444" s="8"/>
      <c r="J444" s="8"/>
    </row>
    <row r="445">
      <c r="C445" s="8"/>
      <c r="D445" s="8"/>
      <c r="E445" s="8"/>
      <c r="F445" s="8"/>
      <c r="G445" s="8"/>
      <c r="H445" s="8"/>
      <c r="I445" s="8"/>
      <c r="J445" s="8"/>
    </row>
    <row r="446">
      <c r="C446" s="8"/>
      <c r="D446" s="8"/>
      <c r="E446" s="8"/>
      <c r="F446" s="8"/>
      <c r="G446" s="8"/>
      <c r="H446" s="8"/>
      <c r="I446" s="8"/>
      <c r="J446" s="8"/>
    </row>
    <row r="447">
      <c r="C447" s="8"/>
      <c r="D447" s="8"/>
      <c r="E447" s="8"/>
      <c r="F447" s="8"/>
      <c r="G447" s="8"/>
      <c r="H447" s="8"/>
      <c r="I447" s="8"/>
      <c r="J447" s="8"/>
    </row>
    <row r="448">
      <c r="C448" s="8"/>
      <c r="D448" s="8"/>
      <c r="E448" s="8"/>
      <c r="F448" s="8"/>
      <c r="G448" s="8"/>
      <c r="H448" s="8"/>
      <c r="I448" s="8"/>
      <c r="J448" s="8"/>
    </row>
    <row r="449">
      <c r="C449" s="8"/>
      <c r="D449" s="8"/>
      <c r="E449" s="8"/>
      <c r="F449" s="8"/>
      <c r="G449" s="8"/>
      <c r="H449" s="8"/>
      <c r="I449" s="8"/>
      <c r="J449" s="8"/>
    </row>
    <row r="450">
      <c r="C450" s="8"/>
      <c r="D450" s="8"/>
      <c r="E450" s="8"/>
      <c r="F450" s="8"/>
      <c r="G450" s="8"/>
      <c r="H450" s="8"/>
      <c r="I450" s="8"/>
      <c r="J450" s="8"/>
    </row>
    <row r="451">
      <c r="C451" s="8"/>
      <c r="D451" s="8"/>
      <c r="E451" s="8"/>
      <c r="F451" s="8"/>
      <c r="G451" s="8"/>
      <c r="H451" s="8"/>
      <c r="I451" s="8"/>
      <c r="J451" s="8"/>
    </row>
    <row r="452">
      <c r="C452" s="8"/>
      <c r="D452" s="8"/>
      <c r="E452" s="8"/>
      <c r="F452" s="8"/>
      <c r="G452" s="8"/>
      <c r="H452" s="8"/>
      <c r="I452" s="8"/>
      <c r="J452" s="8"/>
    </row>
    <row r="453">
      <c r="C453" s="8"/>
      <c r="D453" s="8"/>
      <c r="E453" s="8"/>
      <c r="F453" s="8"/>
      <c r="G453" s="8"/>
      <c r="H453" s="8"/>
      <c r="I453" s="8"/>
      <c r="J453" s="8"/>
    </row>
    <row r="454">
      <c r="C454" s="8"/>
      <c r="D454" s="8"/>
      <c r="E454" s="8"/>
      <c r="F454" s="8"/>
      <c r="G454" s="8"/>
      <c r="H454" s="8"/>
      <c r="I454" s="8"/>
      <c r="J454" s="8"/>
    </row>
    <row r="455">
      <c r="C455" s="8"/>
      <c r="D455" s="8"/>
      <c r="E455" s="8"/>
      <c r="F455" s="8"/>
      <c r="G455" s="8"/>
      <c r="H455" s="8"/>
      <c r="I455" s="8"/>
      <c r="J455" s="8"/>
    </row>
    <row r="456">
      <c r="C456" s="8"/>
      <c r="D456" s="8"/>
      <c r="E456" s="8"/>
      <c r="F456" s="8"/>
      <c r="G456" s="8"/>
      <c r="H456" s="8"/>
      <c r="I456" s="8"/>
      <c r="J456" s="8"/>
    </row>
    <row r="457">
      <c r="C457" s="8"/>
      <c r="D457" s="8"/>
      <c r="E457" s="8"/>
      <c r="F457" s="8"/>
      <c r="G457" s="8"/>
      <c r="H457" s="8"/>
      <c r="I457" s="8"/>
      <c r="J457" s="8"/>
    </row>
    <row r="458">
      <c r="C458" s="8"/>
      <c r="D458" s="8"/>
      <c r="E458" s="8"/>
      <c r="F458" s="8"/>
      <c r="G458" s="8"/>
      <c r="H458" s="8"/>
      <c r="I458" s="8"/>
      <c r="J458" s="8"/>
    </row>
    <row r="459">
      <c r="C459" s="8"/>
      <c r="D459" s="8"/>
      <c r="E459" s="8"/>
      <c r="F459" s="8"/>
      <c r="G459" s="8"/>
      <c r="H459" s="8"/>
      <c r="I459" s="8"/>
      <c r="J459" s="8"/>
    </row>
    <row r="460">
      <c r="C460" s="8"/>
      <c r="D460" s="8"/>
      <c r="E460" s="8"/>
      <c r="F460" s="8"/>
      <c r="G460" s="8"/>
      <c r="H460" s="8"/>
      <c r="I460" s="8"/>
      <c r="J460" s="8"/>
    </row>
    <row r="461">
      <c r="C461" s="8"/>
      <c r="D461" s="8"/>
      <c r="E461" s="8"/>
      <c r="F461" s="8"/>
      <c r="G461" s="8"/>
      <c r="H461" s="8"/>
      <c r="I461" s="8"/>
      <c r="J461" s="8"/>
    </row>
    <row r="462">
      <c r="C462" s="8"/>
      <c r="D462" s="8"/>
      <c r="E462" s="8"/>
      <c r="F462" s="8"/>
      <c r="G462" s="8"/>
      <c r="H462" s="8"/>
      <c r="I462" s="8"/>
      <c r="J462" s="8"/>
    </row>
    <row r="463">
      <c r="C463" s="8"/>
      <c r="D463" s="8"/>
      <c r="E463" s="8"/>
      <c r="F463" s="8"/>
      <c r="G463" s="8"/>
      <c r="H463" s="8"/>
      <c r="I463" s="8"/>
      <c r="J463" s="8"/>
    </row>
    <row r="464">
      <c r="C464" s="8"/>
      <c r="D464" s="8"/>
      <c r="E464" s="8"/>
      <c r="F464" s="8"/>
      <c r="G464" s="8"/>
      <c r="H464" s="8"/>
      <c r="I464" s="8"/>
      <c r="J464" s="8"/>
    </row>
    <row r="465">
      <c r="C465" s="8"/>
      <c r="D465" s="8"/>
      <c r="E465" s="8"/>
      <c r="F465" s="8"/>
      <c r="G465" s="8"/>
      <c r="H465" s="8"/>
      <c r="I465" s="8"/>
      <c r="J465" s="8"/>
    </row>
    <row r="466">
      <c r="C466" s="8"/>
      <c r="D466" s="8"/>
      <c r="E466" s="8"/>
      <c r="F466" s="8"/>
      <c r="G466" s="8"/>
      <c r="H466" s="8"/>
      <c r="I466" s="8"/>
      <c r="J466" s="8"/>
    </row>
    <row r="467">
      <c r="C467" s="8"/>
      <c r="D467" s="8"/>
      <c r="E467" s="8"/>
      <c r="F467" s="8"/>
      <c r="G467" s="8"/>
      <c r="H467" s="8"/>
      <c r="I467" s="8"/>
      <c r="J467" s="8"/>
    </row>
    <row r="468">
      <c r="C468" s="8"/>
      <c r="D468" s="8"/>
      <c r="E468" s="8"/>
      <c r="F468" s="8"/>
      <c r="G468" s="8"/>
      <c r="H468" s="8"/>
      <c r="I468" s="8"/>
      <c r="J468" s="8"/>
    </row>
    <row r="469">
      <c r="C469" s="8"/>
      <c r="D469" s="8"/>
      <c r="E469" s="8"/>
      <c r="F469" s="8"/>
      <c r="G469" s="8"/>
      <c r="H469" s="8"/>
      <c r="I469" s="8"/>
      <c r="J469" s="8"/>
    </row>
    <row r="470">
      <c r="C470" s="8"/>
      <c r="D470" s="8"/>
      <c r="E470" s="8"/>
      <c r="F470" s="8"/>
      <c r="G470" s="8"/>
      <c r="H470" s="8"/>
      <c r="I470" s="8"/>
      <c r="J470" s="8"/>
    </row>
    <row r="471">
      <c r="C471" s="8"/>
      <c r="D471" s="8"/>
      <c r="E471" s="8"/>
      <c r="F471" s="8"/>
      <c r="G471" s="8"/>
      <c r="H471" s="8"/>
      <c r="I471" s="8"/>
      <c r="J471" s="8"/>
    </row>
    <row r="472">
      <c r="C472" s="8"/>
      <c r="D472" s="8"/>
      <c r="E472" s="8"/>
      <c r="F472" s="8"/>
      <c r="G472" s="8"/>
      <c r="H472" s="8"/>
      <c r="I472" s="8"/>
      <c r="J472" s="8"/>
    </row>
    <row r="473">
      <c r="C473" s="8"/>
      <c r="D473" s="8"/>
      <c r="E473" s="8"/>
      <c r="F473" s="8"/>
      <c r="G473" s="8"/>
      <c r="H473" s="8"/>
      <c r="I473" s="8"/>
      <c r="J473" s="8"/>
    </row>
    <row r="474">
      <c r="C474" s="8"/>
      <c r="D474" s="8"/>
      <c r="E474" s="8"/>
      <c r="F474" s="8"/>
      <c r="G474" s="8"/>
      <c r="H474" s="8"/>
      <c r="I474" s="8"/>
      <c r="J474" s="8"/>
    </row>
    <row r="475">
      <c r="C475" s="8"/>
      <c r="D475" s="8"/>
      <c r="E475" s="8"/>
      <c r="F475" s="8"/>
      <c r="G475" s="8"/>
      <c r="H475" s="8"/>
      <c r="I475" s="8"/>
      <c r="J475" s="8"/>
    </row>
    <row r="476">
      <c r="C476" s="8"/>
      <c r="D476" s="8"/>
      <c r="E476" s="8"/>
      <c r="F476" s="8"/>
      <c r="G476" s="8"/>
      <c r="H476" s="8"/>
      <c r="I476" s="8"/>
      <c r="J476" s="8"/>
    </row>
    <row r="477">
      <c r="C477" s="8"/>
      <c r="D477" s="8"/>
      <c r="E477" s="8"/>
      <c r="F477" s="8"/>
      <c r="G477" s="8"/>
      <c r="H477" s="8"/>
      <c r="I477" s="8"/>
      <c r="J477" s="8"/>
    </row>
    <row r="478">
      <c r="C478" s="8"/>
      <c r="D478" s="8"/>
      <c r="E478" s="8"/>
      <c r="F478" s="8"/>
      <c r="G478" s="8"/>
      <c r="H478" s="8"/>
      <c r="I478" s="8"/>
      <c r="J478" s="8"/>
    </row>
    <row r="479">
      <c r="C479" s="8"/>
      <c r="D479" s="8"/>
      <c r="E479" s="8"/>
      <c r="F479" s="8"/>
      <c r="G479" s="8"/>
      <c r="H479" s="8"/>
      <c r="I479" s="8"/>
      <c r="J479" s="8"/>
    </row>
    <row r="480">
      <c r="C480" s="8"/>
      <c r="D480" s="8"/>
      <c r="E480" s="8"/>
      <c r="F480" s="8"/>
      <c r="G480" s="8"/>
      <c r="H480" s="8"/>
      <c r="I480" s="8"/>
      <c r="J480" s="8"/>
    </row>
    <row r="481">
      <c r="C481" s="8"/>
      <c r="D481" s="8"/>
      <c r="E481" s="8"/>
      <c r="F481" s="8"/>
      <c r="G481" s="8"/>
      <c r="H481" s="8"/>
      <c r="I481" s="8"/>
      <c r="J481" s="8"/>
    </row>
    <row r="482">
      <c r="C482" s="8"/>
      <c r="D482" s="8"/>
      <c r="E482" s="8"/>
      <c r="F482" s="8"/>
      <c r="G482" s="8"/>
      <c r="H482" s="8"/>
      <c r="I482" s="8"/>
      <c r="J482" s="8"/>
    </row>
    <row r="483">
      <c r="C483" s="8"/>
      <c r="D483" s="8"/>
      <c r="E483" s="8"/>
      <c r="F483" s="8"/>
      <c r="G483" s="8"/>
      <c r="H483" s="8"/>
      <c r="I483" s="8"/>
      <c r="J483" s="8"/>
    </row>
    <row r="484">
      <c r="C484" s="8"/>
      <c r="D484" s="8"/>
      <c r="E484" s="8"/>
      <c r="F484" s="8"/>
      <c r="G484" s="8"/>
      <c r="H484" s="8"/>
      <c r="I484" s="8"/>
      <c r="J484" s="8"/>
    </row>
    <row r="485">
      <c r="C485" s="8"/>
      <c r="D485" s="8"/>
      <c r="E485" s="8"/>
      <c r="F485" s="8"/>
      <c r="G485" s="8"/>
      <c r="H485" s="8"/>
      <c r="I485" s="8"/>
      <c r="J485" s="8"/>
    </row>
    <row r="486">
      <c r="C486" s="8"/>
      <c r="D486" s="8"/>
      <c r="E486" s="8"/>
      <c r="F486" s="8"/>
      <c r="G486" s="8"/>
      <c r="H486" s="8"/>
      <c r="I486" s="8"/>
      <c r="J486" s="8"/>
    </row>
    <row r="487">
      <c r="C487" s="8"/>
      <c r="D487" s="8"/>
      <c r="E487" s="8"/>
      <c r="F487" s="8"/>
      <c r="G487" s="8"/>
      <c r="H487" s="8"/>
      <c r="I487" s="8"/>
      <c r="J487" s="8"/>
    </row>
    <row r="488">
      <c r="C488" s="8"/>
      <c r="D488" s="8"/>
      <c r="E488" s="8"/>
      <c r="F488" s="8"/>
      <c r="G488" s="8"/>
      <c r="H488" s="8"/>
      <c r="I488" s="8"/>
      <c r="J488" s="8"/>
    </row>
    <row r="489">
      <c r="C489" s="8"/>
      <c r="D489" s="8"/>
      <c r="E489" s="8"/>
      <c r="F489" s="8"/>
      <c r="G489" s="8"/>
      <c r="H489" s="8"/>
      <c r="I489" s="8"/>
      <c r="J489" s="8"/>
    </row>
    <row r="490">
      <c r="C490" s="8"/>
      <c r="D490" s="8"/>
      <c r="E490" s="8"/>
      <c r="F490" s="8"/>
      <c r="G490" s="8"/>
      <c r="H490" s="8"/>
      <c r="I490" s="8"/>
      <c r="J490" s="8"/>
    </row>
    <row r="491">
      <c r="C491" s="8"/>
      <c r="D491" s="8"/>
      <c r="E491" s="8"/>
      <c r="F491" s="8"/>
      <c r="G491" s="8"/>
      <c r="H491" s="8"/>
      <c r="I491" s="8"/>
      <c r="J491" s="8"/>
    </row>
    <row r="492">
      <c r="C492" s="8"/>
      <c r="D492" s="8"/>
      <c r="E492" s="8"/>
      <c r="F492" s="8"/>
      <c r="G492" s="8"/>
      <c r="H492" s="8"/>
      <c r="I492" s="8"/>
      <c r="J492" s="8"/>
    </row>
    <row r="493">
      <c r="C493" s="8"/>
      <c r="D493" s="8"/>
      <c r="E493" s="8"/>
      <c r="F493" s="8"/>
      <c r="G493" s="8"/>
      <c r="H493" s="8"/>
      <c r="I493" s="8"/>
      <c r="J493" s="8"/>
    </row>
    <row r="494">
      <c r="C494" s="8"/>
      <c r="D494" s="8"/>
      <c r="E494" s="8"/>
      <c r="F494" s="8"/>
      <c r="G494" s="8"/>
      <c r="H494" s="8"/>
      <c r="I494" s="8"/>
      <c r="J494" s="8"/>
    </row>
    <row r="495">
      <c r="C495" s="8"/>
      <c r="D495" s="8"/>
      <c r="E495" s="8"/>
      <c r="F495" s="8"/>
      <c r="G495" s="8"/>
      <c r="H495" s="8"/>
      <c r="I495" s="8"/>
      <c r="J495" s="8"/>
    </row>
    <row r="496">
      <c r="C496" s="8"/>
      <c r="D496" s="8"/>
      <c r="E496" s="8"/>
      <c r="F496" s="8"/>
      <c r="G496" s="8"/>
      <c r="H496" s="8"/>
      <c r="I496" s="8"/>
      <c r="J496" s="8"/>
    </row>
    <row r="497">
      <c r="C497" s="8"/>
      <c r="D497" s="8"/>
      <c r="E497" s="8"/>
      <c r="F497" s="8"/>
      <c r="G497" s="8"/>
      <c r="H497" s="8"/>
      <c r="I497" s="8"/>
      <c r="J497" s="8"/>
    </row>
    <row r="498">
      <c r="C498" s="8"/>
      <c r="D498" s="8"/>
      <c r="E498" s="8"/>
      <c r="F498" s="8"/>
      <c r="G498" s="8"/>
      <c r="H498" s="8"/>
      <c r="I498" s="8"/>
      <c r="J498" s="8"/>
    </row>
    <row r="499">
      <c r="C499" s="8"/>
      <c r="D499" s="8"/>
      <c r="E499" s="8"/>
      <c r="F499" s="8"/>
      <c r="G499" s="8"/>
      <c r="H499" s="8"/>
      <c r="I499" s="8"/>
      <c r="J499" s="8"/>
    </row>
    <row r="500">
      <c r="C500" s="8"/>
      <c r="D500" s="8"/>
      <c r="E500" s="8"/>
      <c r="F500" s="8"/>
      <c r="G500" s="8"/>
      <c r="H500" s="8"/>
      <c r="I500" s="8"/>
      <c r="J500" s="8"/>
    </row>
    <row r="501">
      <c r="C501" s="8"/>
      <c r="D501" s="8"/>
      <c r="E501" s="8"/>
      <c r="F501" s="8"/>
      <c r="G501" s="8"/>
      <c r="H501" s="8"/>
      <c r="I501" s="8"/>
      <c r="J501" s="8"/>
    </row>
    <row r="502">
      <c r="C502" s="8"/>
      <c r="D502" s="8"/>
      <c r="E502" s="8"/>
      <c r="F502" s="8"/>
      <c r="G502" s="8"/>
      <c r="H502" s="8"/>
      <c r="I502" s="8"/>
      <c r="J502" s="8"/>
    </row>
    <row r="503">
      <c r="C503" s="8"/>
      <c r="D503" s="8"/>
      <c r="E503" s="8"/>
      <c r="F503" s="8"/>
      <c r="G503" s="8"/>
      <c r="H503" s="8"/>
      <c r="I503" s="8"/>
      <c r="J503" s="8"/>
    </row>
    <row r="504">
      <c r="C504" s="8"/>
      <c r="D504" s="8"/>
      <c r="E504" s="8"/>
      <c r="F504" s="8"/>
      <c r="G504" s="8"/>
      <c r="H504" s="8"/>
      <c r="I504" s="8"/>
      <c r="J504" s="8"/>
    </row>
    <row r="505">
      <c r="C505" s="8"/>
      <c r="D505" s="8"/>
      <c r="E505" s="8"/>
      <c r="F505" s="8"/>
      <c r="G505" s="8"/>
      <c r="H505" s="8"/>
      <c r="I505" s="8"/>
      <c r="J505" s="8"/>
    </row>
    <row r="506">
      <c r="C506" s="8"/>
      <c r="D506" s="8"/>
      <c r="E506" s="8"/>
      <c r="F506" s="8"/>
      <c r="G506" s="8"/>
      <c r="H506" s="8"/>
      <c r="I506" s="8"/>
      <c r="J506" s="8"/>
    </row>
    <row r="507">
      <c r="C507" s="8"/>
      <c r="D507" s="8"/>
      <c r="E507" s="8"/>
      <c r="F507" s="8"/>
      <c r="G507" s="8"/>
      <c r="H507" s="8"/>
      <c r="I507" s="8"/>
      <c r="J507" s="8"/>
    </row>
    <row r="508">
      <c r="C508" s="8"/>
      <c r="D508" s="8"/>
      <c r="E508" s="8"/>
      <c r="F508" s="8"/>
      <c r="G508" s="8"/>
      <c r="H508" s="8"/>
      <c r="I508" s="8"/>
      <c r="J508" s="8"/>
    </row>
    <row r="509">
      <c r="C509" s="8"/>
      <c r="D509" s="8"/>
      <c r="E509" s="8"/>
      <c r="F509" s="8"/>
      <c r="G509" s="8"/>
      <c r="H509" s="8"/>
      <c r="I509" s="8"/>
      <c r="J509" s="8"/>
    </row>
    <row r="510">
      <c r="C510" s="8"/>
      <c r="D510" s="8"/>
      <c r="E510" s="8"/>
      <c r="F510" s="8"/>
      <c r="G510" s="8"/>
      <c r="H510" s="8"/>
      <c r="I510" s="8"/>
      <c r="J510" s="8"/>
    </row>
    <row r="511">
      <c r="C511" s="8"/>
      <c r="D511" s="8"/>
      <c r="E511" s="8"/>
      <c r="F511" s="8"/>
      <c r="G511" s="8"/>
      <c r="H511" s="8"/>
      <c r="I511" s="8"/>
      <c r="J511" s="8"/>
    </row>
    <row r="512">
      <c r="C512" s="8"/>
      <c r="D512" s="8"/>
      <c r="E512" s="8"/>
      <c r="F512" s="8"/>
      <c r="G512" s="8"/>
      <c r="H512" s="8"/>
      <c r="I512" s="8"/>
      <c r="J512" s="8"/>
    </row>
    <row r="513">
      <c r="C513" s="8"/>
      <c r="D513" s="8"/>
      <c r="E513" s="8"/>
      <c r="F513" s="8"/>
      <c r="G513" s="8"/>
      <c r="H513" s="8"/>
      <c r="I513" s="8"/>
      <c r="J513" s="8"/>
    </row>
    <row r="514">
      <c r="C514" s="8"/>
      <c r="D514" s="8"/>
      <c r="E514" s="8"/>
      <c r="F514" s="8"/>
      <c r="G514" s="8"/>
      <c r="H514" s="8"/>
      <c r="I514" s="8"/>
      <c r="J514" s="8"/>
    </row>
    <row r="515">
      <c r="C515" s="8"/>
      <c r="D515" s="8"/>
      <c r="E515" s="8"/>
      <c r="F515" s="8"/>
      <c r="G515" s="8"/>
      <c r="H515" s="8"/>
      <c r="I515" s="8"/>
      <c r="J515" s="8"/>
    </row>
    <row r="516">
      <c r="C516" s="8"/>
      <c r="D516" s="8"/>
      <c r="E516" s="8"/>
      <c r="F516" s="8"/>
      <c r="G516" s="8"/>
      <c r="H516" s="8"/>
      <c r="I516" s="8"/>
      <c r="J516" s="8"/>
    </row>
    <row r="517">
      <c r="C517" s="8"/>
      <c r="D517" s="8"/>
      <c r="E517" s="8"/>
      <c r="F517" s="8"/>
      <c r="G517" s="8"/>
      <c r="H517" s="8"/>
      <c r="I517" s="8"/>
      <c r="J517" s="8"/>
    </row>
    <row r="518">
      <c r="C518" s="8"/>
      <c r="D518" s="8"/>
      <c r="E518" s="8"/>
      <c r="F518" s="8"/>
      <c r="G518" s="8"/>
      <c r="H518" s="8"/>
      <c r="I518" s="8"/>
      <c r="J518" s="8"/>
    </row>
    <row r="519">
      <c r="C519" s="8"/>
      <c r="D519" s="8"/>
      <c r="E519" s="8"/>
      <c r="F519" s="8"/>
      <c r="G519" s="8"/>
      <c r="H519" s="8"/>
      <c r="I519" s="8"/>
      <c r="J519" s="8"/>
    </row>
    <row r="520">
      <c r="C520" s="8"/>
      <c r="D520" s="8"/>
      <c r="E520" s="8"/>
      <c r="F520" s="8"/>
      <c r="G520" s="8"/>
      <c r="H520" s="8"/>
      <c r="I520" s="8"/>
      <c r="J520" s="8"/>
    </row>
    <row r="521">
      <c r="C521" s="8"/>
      <c r="D521" s="8"/>
      <c r="E521" s="8"/>
      <c r="F521" s="8"/>
      <c r="G521" s="8"/>
      <c r="H521" s="8"/>
      <c r="I521" s="8"/>
      <c r="J521" s="8"/>
    </row>
    <row r="522">
      <c r="C522" s="8"/>
      <c r="D522" s="8"/>
      <c r="E522" s="8"/>
      <c r="F522" s="8"/>
      <c r="G522" s="8"/>
      <c r="H522" s="8"/>
      <c r="I522" s="8"/>
      <c r="J522" s="8"/>
    </row>
    <row r="523">
      <c r="C523" s="8"/>
      <c r="D523" s="8"/>
      <c r="E523" s="8"/>
      <c r="F523" s="8"/>
      <c r="G523" s="8"/>
      <c r="H523" s="8"/>
      <c r="I523" s="8"/>
      <c r="J523" s="8"/>
    </row>
    <row r="524">
      <c r="C524" s="8"/>
      <c r="D524" s="8"/>
      <c r="E524" s="8"/>
      <c r="F524" s="8"/>
      <c r="G524" s="8"/>
      <c r="H524" s="8"/>
      <c r="I524" s="8"/>
      <c r="J524" s="8"/>
    </row>
    <row r="525">
      <c r="C525" s="8"/>
      <c r="D525" s="8"/>
      <c r="E525" s="8"/>
      <c r="F525" s="8"/>
      <c r="G525" s="8"/>
      <c r="H525" s="8"/>
      <c r="I525" s="8"/>
      <c r="J525" s="8"/>
    </row>
    <row r="526">
      <c r="C526" s="8"/>
      <c r="D526" s="8"/>
      <c r="E526" s="8"/>
      <c r="F526" s="8"/>
      <c r="G526" s="8"/>
      <c r="H526" s="8"/>
      <c r="I526" s="8"/>
      <c r="J526" s="8"/>
    </row>
    <row r="527">
      <c r="C527" s="8"/>
      <c r="D527" s="8"/>
      <c r="E527" s="8"/>
      <c r="F527" s="8"/>
      <c r="G527" s="8"/>
      <c r="H527" s="8"/>
      <c r="I527" s="8"/>
      <c r="J527" s="8"/>
    </row>
    <row r="528">
      <c r="C528" s="8"/>
      <c r="D528" s="8"/>
      <c r="E528" s="8"/>
      <c r="F528" s="8"/>
      <c r="G528" s="8"/>
      <c r="H528" s="8"/>
      <c r="I528" s="8"/>
      <c r="J528" s="8"/>
    </row>
    <row r="529">
      <c r="C529" s="8"/>
      <c r="D529" s="8"/>
      <c r="E529" s="8"/>
      <c r="F529" s="8"/>
      <c r="G529" s="8"/>
      <c r="H529" s="8"/>
      <c r="I529" s="8"/>
      <c r="J529" s="8"/>
    </row>
    <row r="530">
      <c r="C530" s="8"/>
      <c r="D530" s="8"/>
      <c r="E530" s="8"/>
      <c r="F530" s="8"/>
      <c r="G530" s="8"/>
      <c r="H530" s="8"/>
      <c r="I530" s="8"/>
      <c r="J530" s="8"/>
    </row>
    <row r="531">
      <c r="C531" s="8"/>
      <c r="D531" s="8"/>
      <c r="E531" s="8"/>
      <c r="F531" s="8"/>
      <c r="G531" s="8"/>
      <c r="H531" s="8"/>
      <c r="I531" s="8"/>
      <c r="J531" s="8"/>
    </row>
    <row r="532">
      <c r="C532" s="8"/>
      <c r="D532" s="8"/>
      <c r="E532" s="8"/>
      <c r="F532" s="8"/>
      <c r="G532" s="8"/>
      <c r="H532" s="8"/>
      <c r="I532" s="8"/>
      <c r="J532" s="8"/>
    </row>
    <row r="533">
      <c r="C533" s="8"/>
      <c r="D533" s="8"/>
      <c r="E533" s="8"/>
      <c r="F533" s="8"/>
      <c r="G533" s="8"/>
      <c r="H533" s="8"/>
      <c r="I533" s="8"/>
      <c r="J533" s="8"/>
    </row>
    <row r="534">
      <c r="C534" s="8"/>
      <c r="D534" s="8"/>
      <c r="E534" s="8"/>
      <c r="F534" s="8"/>
      <c r="G534" s="8"/>
      <c r="H534" s="8"/>
      <c r="I534" s="8"/>
      <c r="J534" s="8"/>
    </row>
    <row r="535">
      <c r="C535" s="8"/>
      <c r="D535" s="8"/>
      <c r="E535" s="8"/>
      <c r="F535" s="8"/>
      <c r="G535" s="8"/>
      <c r="H535" s="8"/>
      <c r="I535" s="8"/>
      <c r="J535" s="8"/>
    </row>
    <row r="536">
      <c r="C536" s="8"/>
      <c r="D536" s="8"/>
      <c r="E536" s="8"/>
      <c r="F536" s="8"/>
      <c r="G536" s="8"/>
      <c r="H536" s="8"/>
      <c r="I536" s="8"/>
      <c r="J536" s="8"/>
    </row>
    <row r="537">
      <c r="C537" s="8"/>
      <c r="D537" s="8"/>
      <c r="E537" s="8"/>
      <c r="F537" s="8"/>
      <c r="G537" s="8"/>
      <c r="H537" s="8"/>
      <c r="I537" s="8"/>
      <c r="J537" s="8"/>
    </row>
    <row r="538">
      <c r="C538" s="8"/>
      <c r="D538" s="8"/>
      <c r="E538" s="8"/>
      <c r="F538" s="8"/>
      <c r="G538" s="8"/>
      <c r="H538" s="8"/>
      <c r="I538" s="8"/>
      <c r="J538" s="8"/>
    </row>
    <row r="539">
      <c r="C539" s="8"/>
      <c r="D539" s="8"/>
      <c r="E539" s="8"/>
      <c r="F539" s="8"/>
      <c r="G539" s="8"/>
      <c r="H539" s="8"/>
      <c r="I539" s="8"/>
      <c r="J539" s="8"/>
    </row>
    <row r="540">
      <c r="C540" s="8"/>
      <c r="D540" s="8"/>
      <c r="E540" s="8"/>
      <c r="F540" s="8"/>
      <c r="G540" s="8"/>
      <c r="H540" s="8"/>
      <c r="I540" s="8"/>
      <c r="J540" s="8"/>
    </row>
    <row r="541">
      <c r="C541" s="8"/>
      <c r="D541" s="8"/>
      <c r="E541" s="8"/>
      <c r="F541" s="8"/>
      <c r="G541" s="8"/>
      <c r="H541" s="8"/>
      <c r="I541" s="8"/>
      <c r="J541" s="8"/>
    </row>
    <row r="542">
      <c r="C542" s="8"/>
      <c r="D542" s="8"/>
      <c r="E542" s="8"/>
      <c r="F542" s="8"/>
      <c r="G542" s="8"/>
      <c r="H542" s="8"/>
      <c r="I542" s="8"/>
      <c r="J542" s="8"/>
    </row>
    <row r="543">
      <c r="C543" s="8"/>
      <c r="D543" s="8"/>
      <c r="E543" s="8"/>
      <c r="F543" s="8"/>
      <c r="G543" s="8"/>
      <c r="H543" s="8"/>
      <c r="I543" s="8"/>
      <c r="J543" s="8"/>
    </row>
    <row r="544">
      <c r="C544" s="8"/>
      <c r="D544" s="8"/>
      <c r="E544" s="8"/>
      <c r="F544" s="8"/>
      <c r="G544" s="8"/>
      <c r="H544" s="8"/>
      <c r="I544" s="8"/>
      <c r="J544" s="8"/>
    </row>
    <row r="545">
      <c r="C545" s="8"/>
      <c r="D545" s="8"/>
      <c r="E545" s="8"/>
      <c r="F545" s="8"/>
      <c r="G545" s="8"/>
      <c r="H545" s="8"/>
      <c r="I545" s="8"/>
      <c r="J545" s="8"/>
    </row>
    <row r="546">
      <c r="C546" s="8"/>
      <c r="D546" s="8"/>
      <c r="E546" s="8"/>
      <c r="F546" s="8"/>
      <c r="G546" s="8"/>
      <c r="H546" s="8"/>
      <c r="I546" s="8"/>
      <c r="J546" s="8"/>
    </row>
    <row r="547">
      <c r="C547" s="8"/>
      <c r="D547" s="8"/>
      <c r="E547" s="8"/>
      <c r="F547" s="8"/>
      <c r="G547" s="8"/>
      <c r="H547" s="8"/>
      <c r="I547" s="8"/>
      <c r="J547" s="8"/>
    </row>
    <row r="548">
      <c r="C548" s="8"/>
      <c r="D548" s="8"/>
      <c r="E548" s="8"/>
      <c r="F548" s="8"/>
      <c r="G548" s="8"/>
      <c r="H548" s="8"/>
      <c r="I548" s="8"/>
      <c r="J548" s="8"/>
    </row>
    <row r="549">
      <c r="C549" s="8"/>
      <c r="D549" s="8"/>
      <c r="E549" s="8"/>
      <c r="F549" s="8"/>
      <c r="G549" s="8"/>
      <c r="H549" s="8"/>
      <c r="I549" s="8"/>
      <c r="J549" s="8"/>
    </row>
    <row r="550">
      <c r="C550" s="8"/>
      <c r="D550" s="8"/>
      <c r="E550" s="8"/>
      <c r="F550" s="8"/>
      <c r="G550" s="8"/>
      <c r="H550" s="8"/>
      <c r="I550" s="8"/>
      <c r="J550" s="8"/>
    </row>
    <row r="551">
      <c r="C551" s="8"/>
      <c r="D551" s="8"/>
      <c r="E551" s="8"/>
      <c r="F551" s="8"/>
      <c r="G551" s="8"/>
      <c r="H551" s="8"/>
      <c r="I551" s="8"/>
      <c r="J551" s="8"/>
    </row>
    <row r="552">
      <c r="C552" s="8"/>
      <c r="D552" s="8"/>
      <c r="E552" s="8"/>
      <c r="F552" s="8"/>
      <c r="G552" s="8"/>
      <c r="H552" s="8"/>
      <c r="I552" s="8"/>
      <c r="J552" s="8"/>
    </row>
    <row r="553">
      <c r="C553" s="8"/>
      <c r="D553" s="8"/>
      <c r="E553" s="8"/>
      <c r="F553" s="8"/>
      <c r="G553" s="8"/>
      <c r="H553" s="8"/>
      <c r="I553" s="8"/>
      <c r="J553" s="8"/>
    </row>
    <row r="554">
      <c r="C554" s="8"/>
      <c r="D554" s="8"/>
      <c r="E554" s="8"/>
      <c r="F554" s="8"/>
      <c r="G554" s="8"/>
      <c r="H554" s="8"/>
      <c r="I554" s="8"/>
      <c r="J554" s="8"/>
    </row>
    <row r="555">
      <c r="C555" s="8"/>
      <c r="D555" s="8"/>
      <c r="E555" s="8"/>
      <c r="F555" s="8"/>
      <c r="G555" s="8"/>
      <c r="H555" s="8"/>
      <c r="I555" s="8"/>
      <c r="J555" s="8"/>
    </row>
    <row r="556">
      <c r="C556" s="8"/>
      <c r="D556" s="8"/>
      <c r="E556" s="8"/>
      <c r="F556" s="8"/>
      <c r="G556" s="8"/>
      <c r="H556" s="8"/>
      <c r="I556" s="8"/>
      <c r="J556" s="8"/>
    </row>
    <row r="557">
      <c r="C557" s="8"/>
      <c r="D557" s="8"/>
      <c r="E557" s="8"/>
      <c r="F557" s="8"/>
      <c r="G557" s="8"/>
      <c r="H557" s="8"/>
      <c r="I557" s="8"/>
      <c r="J557" s="8"/>
    </row>
    <row r="558">
      <c r="C558" s="8"/>
      <c r="D558" s="8"/>
      <c r="E558" s="8"/>
      <c r="F558" s="8"/>
      <c r="G558" s="8"/>
      <c r="H558" s="8"/>
      <c r="I558" s="8"/>
      <c r="J558" s="8"/>
    </row>
    <row r="559">
      <c r="C559" s="8"/>
      <c r="D559" s="8"/>
      <c r="E559" s="8"/>
      <c r="F559" s="8"/>
      <c r="G559" s="8"/>
      <c r="H559" s="8"/>
      <c r="I559" s="8"/>
      <c r="J559" s="8"/>
    </row>
    <row r="560">
      <c r="C560" s="8"/>
      <c r="D560" s="8"/>
      <c r="E560" s="8"/>
      <c r="F560" s="8"/>
      <c r="G560" s="8"/>
      <c r="H560" s="8"/>
      <c r="I560" s="8"/>
      <c r="J560" s="8"/>
    </row>
    <row r="561">
      <c r="C561" s="8"/>
      <c r="D561" s="8"/>
      <c r="E561" s="8"/>
      <c r="F561" s="8"/>
      <c r="G561" s="8"/>
      <c r="H561" s="8"/>
      <c r="I561" s="8"/>
      <c r="J561" s="8"/>
    </row>
    <row r="562">
      <c r="C562" s="8"/>
      <c r="D562" s="8"/>
      <c r="E562" s="8"/>
      <c r="F562" s="8"/>
      <c r="G562" s="8"/>
      <c r="H562" s="8"/>
      <c r="I562" s="8"/>
      <c r="J562" s="8"/>
    </row>
    <row r="563">
      <c r="C563" s="8"/>
      <c r="D563" s="8"/>
      <c r="E563" s="8"/>
      <c r="F563" s="8"/>
      <c r="G563" s="8"/>
      <c r="H563" s="8"/>
      <c r="I563" s="8"/>
      <c r="J563" s="8"/>
    </row>
    <row r="564">
      <c r="C564" s="8"/>
      <c r="D564" s="8"/>
      <c r="E564" s="8"/>
      <c r="F564" s="8"/>
      <c r="G564" s="8"/>
      <c r="H564" s="8"/>
      <c r="I564" s="8"/>
      <c r="J564" s="8"/>
    </row>
    <row r="565">
      <c r="C565" s="8"/>
      <c r="D565" s="8"/>
      <c r="E565" s="8"/>
      <c r="F565" s="8"/>
      <c r="G565" s="8"/>
      <c r="H565" s="8"/>
      <c r="I565" s="8"/>
      <c r="J565" s="8"/>
    </row>
    <row r="566">
      <c r="C566" s="8"/>
      <c r="D566" s="8"/>
      <c r="E566" s="8"/>
      <c r="F566" s="8"/>
      <c r="G566" s="8"/>
      <c r="H566" s="8"/>
      <c r="I566" s="8"/>
      <c r="J566" s="8"/>
    </row>
    <row r="567">
      <c r="C567" s="8"/>
      <c r="D567" s="8"/>
      <c r="E567" s="8"/>
      <c r="F567" s="8"/>
      <c r="G567" s="8"/>
      <c r="H567" s="8"/>
      <c r="I567" s="8"/>
      <c r="J567" s="8"/>
    </row>
    <row r="568">
      <c r="C568" s="8"/>
      <c r="D568" s="8"/>
      <c r="E568" s="8"/>
      <c r="F568" s="8"/>
      <c r="G568" s="8"/>
      <c r="H568" s="8"/>
      <c r="I568" s="8"/>
      <c r="J568" s="8"/>
    </row>
    <row r="569">
      <c r="C569" s="8"/>
      <c r="D569" s="8"/>
      <c r="E569" s="8"/>
      <c r="F569" s="8"/>
      <c r="G569" s="8"/>
      <c r="H569" s="8"/>
      <c r="I569" s="8"/>
      <c r="J569" s="8"/>
    </row>
    <row r="570">
      <c r="C570" s="8"/>
      <c r="D570" s="8"/>
      <c r="E570" s="8"/>
      <c r="F570" s="8"/>
      <c r="G570" s="8"/>
      <c r="H570" s="8"/>
      <c r="I570" s="8"/>
      <c r="J570" s="8"/>
    </row>
    <row r="571">
      <c r="C571" s="8"/>
      <c r="D571" s="8"/>
      <c r="E571" s="8"/>
      <c r="F571" s="8"/>
      <c r="G571" s="8"/>
      <c r="H571" s="8"/>
      <c r="I571" s="8"/>
      <c r="J571" s="8"/>
    </row>
    <row r="572">
      <c r="C572" s="8"/>
      <c r="D572" s="8"/>
      <c r="E572" s="8"/>
      <c r="F572" s="8"/>
      <c r="G572" s="8"/>
      <c r="H572" s="8"/>
      <c r="I572" s="8"/>
      <c r="J572" s="8"/>
    </row>
    <row r="573">
      <c r="C573" s="8"/>
      <c r="D573" s="8"/>
      <c r="E573" s="8"/>
      <c r="F573" s="8"/>
      <c r="G573" s="8"/>
      <c r="H573" s="8"/>
      <c r="I573" s="8"/>
      <c r="J573" s="8"/>
    </row>
    <row r="574">
      <c r="C574" s="8"/>
      <c r="D574" s="8"/>
      <c r="E574" s="8"/>
      <c r="F574" s="8"/>
      <c r="G574" s="8"/>
      <c r="H574" s="8"/>
      <c r="I574" s="8"/>
      <c r="J574" s="8"/>
    </row>
    <row r="575">
      <c r="C575" s="8"/>
      <c r="D575" s="8"/>
      <c r="E575" s="8"/>
      <c r="F575" s="8"/>
      <c r="G575" s="8"/>
      <c r="H575" s="8"/>
      <c r="I575" s="8"/>
      <c r="J575" s="8"/>
    </row>
    <row r="576">
      <c r="C576" s="8"/>
      <c r="D576" s="8"/>
      <c r="E576" s="8"/>
      <c r="F576" s="8"/>
      <c r="G576" s="8"/>
      <c r="H576" s="8"/>
      <c r="I576" s="8"/>
      <c r="J576" s="8"/>
    </row>
    <row r="577">
      <c r="C577" s="8"/>
      <c r="D577" s="8"/>
      <c r="E577" s="8"/>
      <c r="F577" s="8"/>
      <c r="G577" s="8"/>
      <c r="H577" s="8"/>
      <c r="I577" s="8"/>
      <c r="J577" s="8"/>
    </row>
    <row r="578">
      <c r="C578" s="8"/>
      <c r="D578" s="8"/>
      <c r="E578" s="8"/>
      <c r="F578" s="8"/>
      <c r="G578" s="8"/>
      <c r="H578" s="8"/>
      <c r="I578" s="8"/>
      <c r="J578" s="8"/>
    </row>
    <row r="579">
      <c r="C579" s="8"/>
      <c r="D579" s="8"/>
      <c r="E579" s="8"/>
      <c r="F579" s="8"/>
      <c r="G579" s="8"/>
      <c r="H579" s="8"/>
      <c r="I579" s="8"/>
      <c r="J579" s="8"/>
    </row>
    <row r="580">
      <c r="C580" s="8"/>
      <c r="D580" s="8"/>
      <c r="E580" s="8"/>
      <c r="F580" s="8"/>
      <c r="G580" s="8"/>
      <c r="H580" s="8"/>
      <c r="I580" s="8"/>
      <c r="J580" s="8"/>
    </row>
    <row r="581">
      <c r="C581" s="8"/>
      <c r="D581" s="8"/>
      <c r="E581" s="8"/>
      <c r="F581" s="8"/>
      <c r="G581" s="8"/>
      <c r="H581" s="8"/>
      <c r="I581" s="8"/>
      <c r="J581" s="8"/>
    </row>
    <row r="582">
      <c r="C582" s="8"/>
      <c r="D582" s="8"/>
      <c r="E582" s="8"/>
      <c r="F582" s="8"/>
      <c r="G582" s="8"/>
      <c r="H582" s="8"/>
      <c r="I582" s="8"/>
      <c r="J582" s="8"/>
    </row>
    <row r="583">
      <c r="C583" s="8"/>
      <c r="D583" s="8"/>
      <c r="E583" s="8"/>
      <c r="F583" s="8"/>
      <c r="G583" s="8"/>
      <c r="H583" s="8"/>
      <c r="I583" s="8"/>
      <c r="J583" s="8"/>
    </row>
    <row r="584">
      <c r="C584" s="8"/>
      <c r="D584" s="8"/>
      <c r="E584" s="8"/>
      <c r="F584" s="8"/>
      <c r="G584" s="8"/>
      <c r="H584" s="8"/>
      <c r="I584" s="8"/>
      <c r="J584" s="8"/>
    </row>
    <row r="585">
      <c r="C585" s="8"/>
      <c r="D585" s="8"/>
      <c r="E585" s="8"/>
      <c r="F585" s="8"/>
      <c r="G585" s="8"/>
      <c r="H585" s="8"/>
      <c r="I585" s="8"/>
      <c r="J585" s="8"/>
    </row>
    <row r="586">
      <c r="C586" s="8"/>
      <c r="D586" s="8"/>
      <c r="E586" s="8"/>
      <c r="F586" s="8"/>
      <c r="G586" s="8"/>
      <c r="H586" s="8"/>
      <c r="I586" s="8"/>
      <c r="J586" s="8"/>
    </row>
    <row r="587">
      <c r="C587" s="8"/>
      <c r="D587" s="8"/>
      <c r="E587" s="8"/>
      <c r="F587" s="8"/>
      <c r="G587" s="8"/>
      <c r="H587" s="8"/>
      <c r="I587" s="8"/>
      <c r="J587" s="8"/>
    </row>
    <row r="588">
      <c r="C588" s="8"/>
      <c r="D588" s="8"/>
      <c r="E588" s="8"/>
      <c r="F588" s="8"/>
      <c r="G588" s="8"/>
      <c r="H588" s="8"/>
      <c r="I588" s="8"/>
      <c r="J588" s="8"/>
    </row>
    <row r="589">
      <c r="C589" s="8"/>
      <c r="D589" s="8"/>
      <c r="E589" s="8"/>
      <c r="F589" s="8"/>
      <c r="G589" s="8"/>
      <c r="H589" s="8"/>
      <c r="I589" s="8"/>
      <c r="J589" s="8"/>
    </row>
    <row r="590">
      <c r="C590" s="8"/>
      <c r="D590" s="8"/>
      <c r="E590" s="8"/>
      <c r="F590" s="8"/>
      <c r="G590" s="8"/>
      <c r="H590" s="8"/>
      <c r="I590" s="8"/>
      <c r="J590" s="8"/>
    </row>
    <row r="591">
      <c r="C591" s="8"/>
      <c r="D591" s="8"/>
      <c r="E591" s="8"/>
      <c r="F591" s="8"/>
      <c r="G591" s="8"/>
      <c r="H591" s="8"/>
      <c r="I591" s="8"/>
      <c r="J591" s="8"/>
    </row>
    <row r="592">
      <c r="C592" s="8"/>
      <c r="D592" s="8"/>
      <c r="E592" s="8"/>
      <c r="F592" s="8"/>
      <c r="G592" s="8"/>
      <c r="H592" s="8"/>
      <c r="I592" s="8"/>
      <c r="J592" s="8"/>
    </row>
    <row r="593">
      <c r="C593" s="8"/>
      <c r="D593" s="8"/>
      <c r="E593" s="8"/>
      <c r="F593" s="8"/>
      <c r="G593" s="8"/>
      <c r="H593" s="8"/>
      <c r="I593" s="8"/>
      <c r="J593" s="8"/>
    </row>
    <row r="594">
      <c r="C594" s="8"/>
      <c r="D594" s="8"/>
      <c r="E594" s="8"/>
      <c r="F594" s="8"/>
      <c r="G594" s="8"/>
      <c r="H594" s="8"/>
      <c r="I594" s="8"/>
      <c r="J594" s="8"/>
    </row>
    <row r="595">
      <c r="C595" s="8"/>
      <c r="D595" s="8"/>
      <c r="E595" s="8"/>
      <c r="F595" s="8"/>
      <c r="G595" s="8"/>
      <c r="H595" s="8"/>
      <c r="I595" s="8"/>
      <c r="J595" s="8"/>
    </row>
    <row r="596">
      <c r="C596" s="8"/>
      <c r="D596" s="8"/>
      <c r="E596" s="8"/>
      <c r="F596" s="8"/>
      <c r="G596" s="8"/>
      <c r="H596" s="8"/>
      <c r="I596" s="8"/>
      <c r="J596" s="8"/>
    </row>
    <row r="597">
      <c r="C597" s="8"/>
      <c r="D597" s="8"/>
      <c r="E597" s="8"/>
      <c r="F597" s="8"/>
      <c r="G597" s="8"/>
      <c r="H597" s="8"/>
      <c r="I597" s="8"/>
      <c r="J597" s="8"/>
    </row>
    <row r="598">
      <c r="C598" s="8"/>
      <c r="D598" s="8"/>
      <c r="E598" s="8"/>
      <c r="F598" s="8"/>
      <c r="G598" s="8"/>
      <c r="H598" s="8"/>
      <c r="I598" s="8"/>
      <c r="J598" s="8"/>
    </row>
    <row r="599">
      <c r="C599" s="8"/>
      <c r="D599" s="8"/>
      <c r="E599" s="8"/>
      <c r="F599" s="8"/>
      <c r="G599" s="8"/>
      <c r="H599" s="8"/>
      <c r="I599" s="8"/>
      <c r="J599" s="8"/>
    </row>
    <row r="600">
      <c r="C600" s="8"/>
      <c r="D600" s="8"/>
      <c r="E600" s="8"/>
      <c r="F600" s="8"/>
      <c r="G600" s="8"/>
      <c r="H600" s="8"/>
      <c r="I600" s="8"/>
      <c r="J600" s="8"/>
    </row>
    <row r="601">
      <c r="C601" s="8"/>
      <c r="D601" s="8"/>
      <c r="E601" s="8"/>
      <c r="F601" s="8"/>
      <c r="G601" s="8"/>
      <c r="H601" s="8"/>
      <c r="I601" s="8"/>
      <c r="J601" s="8"/>
    </row>
    <row r="602">
      <c r="C602" s="8"/>
      <c r="D602" s="8"/>
      <c r="E602" s="8"/>
      <c r="F602" s="8"/>
      <c r="G602" s="8"/>
      <c r="H602" s="8"/>
      <c r="I602" s="8"/>
      <c r="J602" s="8"/>
    </row>
    <row r="603">
      <c r="C603" s="8"/>
      <c r="D603" s="8"/>
      <c r="E603" s="8"/>
      <c r="F603" s="8"/>
      <c r="G603" s="8"/>
      <c r="H603" s="8"/>
      <c r="I603" s="8"/>
      <c r="J603" s="8"/>
    </row>
    <row r="604">
      <c r="C604" s="8"/>
      <c r="D604" s="8"/>
      <c r="E604" s="8"/>
      <c r="F604" s="8"/>
      <c r="G604" s="8"/>
      <c r="H604" s="8"/>
      <c r="I604" s="8"/>
      <c r="J604" s="8"/>
    </row>
    <row r="605">
      <c r="C605" s="8"/>
      <c r="D605" s="8"/>
      <c r="E605" s="8"/>
      <c r="F605" s="8"/>
      <c r="G605" s="8"/>
      <c r="H605" s="8"/>
      <c r="I605" s="8"/>
      <c r="J605" s="8"/>
    </row>
    <row r="606">
      <c r="C606" s="8"/>
      <c r="D606" s="8"/>
      <c r="E606" s="8"/>
      <c r="F606" s="8"/>
      <c r="G606" s="8"/>
      <c r="H606" s="8"/>
      <c r="I606" s="8"/>
      <c r="J606" s="8"/>
    </row>
    <row r="607">
      <c r="C607" s="8"/>
      <c r="D607" s="8"/>
      <c r="E607" s="8"/>
      <c r="F607" s="8"/>
      <c r="G607" s="8"/>
      <c r="H607" s="8"/>
      <c r="I607" s="8"/>
      <c r="J607" s="8"/>
    </row>
    <row r="608">
      <c r="C608" s="8"/>
      <c r="D608" s="8"/>
      <c r="E608" s="8"/>
      <c r="F608" s="8"/>
      <c r="G608" s="8"/>
      <c r="H608" s="8"/>
      <c r="I608" s="8"/>
      <c r="J608" s="8"/>
    </row>
    <row r="609">
      <c r="C609" s="8"/>
      <c r="D609" s="8"/>
      <c r="E609" s="8"/>
      <c r="F609" s="8"/>
      <c r="G609" s="8"/>
      <c r="H609" s="8"/>
      <c r="I609" s="8"/>
      <c r="J609" s="8"/>
    </row>
    <row r="610">
      <c r="C610" s="8"/>
      <c r="D610" s="8"/>
      <c r="E610" s="8"/>
      <c r="F610" s="8"/>
      <c r="G610" s="8"/>
      <c r="H610" s="8"/>
      <c r="I610" s="8"/>
      <c r="J610" s="8"/>
    </row>
    <row r="611">
      <c r="C611" s="8"/>
      <c r="D611" s="8"/>
      <c r="E611" s="8"/>
      <c r="F611" s="8"/>
      <c r="G611" s="8"/>
      <c r="H611" s="8"/>
      <c r="I611" s="8"/>
      <c r="J611" s="8"/>
    </row>
    <row r="612">
      <c r="C612" s="8"/>
      <c r="D612" s="8"/>
      <c r="E612" s="8"/>
      <c r="F612" s="8"/>
      <c r="G612" s="8"/>
      <c r="H612" s="8"/>
      <c r="I612" s="8"/>
      <c r="J612" s="8"/>
    </row>
    <row r="613">
      <c r="C613" s="8"/>
      <c r="D613" s="8"/>
      <c r="E613" s="8"/>
      <c r="F613" s="8"/>
      <c r="G613" s="8"/>
      <c r="H613" s="8"/>
      <c r="I613" s="8"/>
      <c r="J613" s="8"/>
    </row>
    <row r="614">
      <c r="C614" s="8"/>
      <c r="D614" s="8"/>
      <c r="E614" s="8"/>
      <c r="F614" s="8"/>
      <c r="G614" s="8"/>
      <c r="H614" s="8"/>
      <c r="I614" s="8"/>
      <c r="J614" s="8"/>
    </row>
    <row r="615">
      <c r="C615" s="8"/>
      <c r="D615" s="8"/>
      <c r="E615" s="8"/>
      <c r="F615" s="8"/>
      <c r="G615" s="8"/>
      <c r="H615" s="8"/>
      <c r="I615" s="8"/>
      <c r="J615" s="8"/>
    </row>
    <row r="616">
      <c r="C616" s="8"/>
      <c r="D616" s="8"/>
      <c r="E616" s="8"/>
      <c r="F616" s="8"/>
      <c r="G616" s="8"/>
      <c r="H616" s="8"/>
      <c r="I616" s="8"/>
      <c r="J616" s="8"/>
    </row>
    <row r="617">
      <c r="C617" s="8"/>
      <c r="D617" s="8"/>
      <c r="E617" s="8"/>
      <c r="F617" s="8"/>
      <c r="G617" s="8"/>
      <c r="H617" s="8"/>
      <c r="I617" s="8"/>
      <c r="J617" s="8"/>
    </row>
    <row r="618">
      <c r="C618" s="8"/>
      <c r="D618" s="8"/>
      <c r="E618" s="8"/>
      <c r="F618" s="8"/>
      <c r="G618" s="8"/>
      <c r="H618" s="8"/>
      <c r="I618" s="8"/>
      <c r="J618" s="8"/>
    </row>
    <row r="619">
      <c r="C619" s="8"/>
      <c r="D619" s="8"/>
      <c r="E619" s="8"/>
      <c r="F619" s="8"/>
      <c r="G619" s="8"/>
      <c r="H619" s="8"/>
      <c r="I619" s="8"/>
      <c r="J619" s="8"/>
    </row>
    <row r="620">
      <c r="C620" s="8"/>
      <c r="D620" s="8"/>
      <c r="E620" s="8"/>
      <c r="F620" s="8"/>
      <c r="G620" s="8"/>
      <c r="H620" s="8"/>
      <c r="I620" s="8"/>
      <c r="J620" s="8"/>
    </row>
    <row r="621">
      <c r="C621" s="8"/>
      <c r="D621" s="8"/>
      <c r="E621" s="8"/>
      <c r="F621" s="8"/>
      <c r="G621" s="8"/>
      <c r="H621" s="8"/>
      <c r="I621" s="8"/>
      <c r="J621" s="8"/>
    </row>
    <row r="622">
      <c r="C622" s="8"/>
      <c r="D622" s="8"/>
      <c r="E622" s="8"/>
      <c r="F622" s="8"/>
      <c r="G622" s="8"/>
      <c r="H622" s="8"/>
      <c r="I622" s="8"/>
      <c r="J622" s="8"/>
    </row>
    <row r="623">
      <c r="C623" s="8"/>
      <c r="D623" s="8"/>
      <c r="E623" s="8"/>
      <c r="F623" s="8"/>
      <c r="G623" s="8"/>
      <c r="H623" s="8"/>
      <c r="I623" s="8"/>
      <c r="J623" s="8"/>
    </row>
    <row r="624">
      <c r="C624" s="8"/>
      <c r="D624" s="8"/>
      <c r="E624" s="8"/>
      <c r="F624" s="8"/>
      <c r="G624" s="8"/>
      <c r="H624" s="8"/>
      <c r="I624" s="8"/>
      <c r="J624" s="8"/>
    </row>
    <row r="625">
      <c r="C625" s="8"/>
      <c r="D625" s="8"/>
      <c r="E625" s="8"/>
      <c r="F625" s="8"/>
      <c r="G625" s="8"/>
      <c r="H625" s="8"/>
      <c r="I625" s="8"/>
      <c r="J625" s="8"/>
    </row>
    <row r="626">
      <c r="C626" s="8"/>
      <c r="D626" s="8"/>
      <c r="E626" s="8"/>
      <c r="F626" s="8"/>
      <c r="G626" s="8"/>
      <c r="H626" s="8"/>
      <c r="I626" s="8"/>
      <c r="J626" s="8"/>
    </row>
    <row r="627">
      <c r="C627" s="8"/>
      <c r="D627" s="8"/>
      <c r="E627" s="8"/>
      <c r="F627" s="8"/>
      <c r="G627" s="8"/>
      <c r="H627" s="8"/>
      <c r="I627" s="8"/>
      <c r="J627" s="8"/>
    </row>
    <row r="628">
      <c r="C628" s="8"/>
      <c r="D628" s="8"/>
      <c r="E628" s="8"/>
      <c r="F628" s="8"/>
      <c r="G628" s="8"/>
      <c r="H628" s="8"/>
      <c r="I628" s="8"/>
      <c r="J628" s="8"/>
    </row>
    <row r="629">
      <c r="C629" s="8"/>
      <c r="D629" s="8"/>
      <c r="E629" s="8"/>
      <c r="F629" s="8"/>
      <c r="G629" s="8"/>
      <c r="H629" s="8"/>
      <c r="I629" s="8"/>
      <c r="J629" s="8"/>
    </row>
    <row r="630">
      <c r="C630" s="8"/>
      <c r="D630" s="8"/>
      <c r="E630" s="8"/>
      <c r="F630" s="8"/>
      <c r="G630" s="8"/>
      <c r="H630" s="8"/>
      <c r="I630" s="8"/>
      <c r="J630" s="8"/>
    </row>
    <row r="631">
      <c r="C631" s="8"/>
      <c r="D631" s="8"/>
      <c r="E631" s="8"/>
      <c r="F631" s="8"/>
      <c r="G631" s="8"/>
      <c r="H631" s="8"/>
      <c r="I631" s="8"/>
      <c r="J631" s="8"/>
    </row>
    <row r="632">
      <c r="C632" s="8"/>
      <c r="D632" s="8"/>
      <c r="E632" s="8"/>
      <c r="F632" s="8"/>
      <c r="G632" s="8"/>
      <c r="H632" s="8"/>
      <c r="I632" s="8"/>
      <c r="J632" s="8"/>
    </row>
    <row r="633">
      <c r="C633" s="8"/>
      <c r="D633" s="8"/>
      <c r="E633" s="8"/>
      <c r="F633" s="8"/>
      <c r="G633" s="8"/>
      <c r="H633" s="8"/>
      <c r="I633" s="8"/>
      <c r="J633" s="8"/>
    </row>
    <row r="634">
      <c r="C634" s="8"/>
      <c r="D634" s="8"/>
      <c r="E634" s="8"/>
      <c r="F634" s="8"/>
      <c r="G634" s="8"/>
      <c r="H634" s="8"/>
      <c r="I634" s="8"/>
      <c r="J634" s="8"/>
    </row>
    <row r="635">
      <c r="C635" s="8"/>
      <c r="D635" s="8"/>
      <c r="E635" s="8"/>
      <c r="F635" s="8"/>
      <c r="G635" s="8"/>
      <c r="H635" s="8"/>
      <c r="I635" s="8"/>
      <c r="J635" s="8"/>
    </row>
    <row r="636">
      <c r="C636" s="8"/>
      <c r="D636" s="8"/>
      <c r="E636" s="8"/>
      <c r="F636" s="8"/>
      <c r="G636" s="8"/>
      <c r="H636" s="8"/>
      <c r="I636" s="8"/>
      <c r="J636" s="8"/>
    </row>
    <row r="637">
      <c r="C637" s="8"/>
      <c r="D637" s="8"/>
      <c r="E637" s="8"/>
      <c r="F637" s="8"/>
      <c r="G637" s="8"/>
      <c r="H637" s="8"/>
      <c r="I637" s="8"/>
      <c r="J637" s="8"/>
    </row>
    <row r="638">
      <c r="C638" s="8"/>
      <c r="D638" s="8"/>
      <c r="E638" s="8"/>
      <c r="F638" s="8"/>
      <c r="G638" s="8"/>
      <c r="H638" s="8"/>
      <c r="I638" s="8"/>
      <c r="J638" s="8"/>
    </row>
    <row r="639">
      <c r="C639" s="8"/>
      <c r="D639" s="8"/>
      <c r="E639" s="8"/>
      <c r="F639" s="8"/>
      <c r="G639" s="8"/>
      <c r="H639" s="8"/>
      <c r="I639" s="8"/>
      <c r="J639" s="8"/>
    </row>
    <row r="640">
      <c r="C640" s="8"/>
      <c r="D640" s="8"/>
      <c r="E640" s="8"/>
      <c r="F640" s="8"/>
      <c r="G640" s="8"/>
      <c r="H640" s="8"/>
      <c r="I640" s="8"/>
      <c r="J640" s="8"/>
    </row>
    <row r="641">
      <c r="C641" s="8"/>
      <c r="D641" s="8"/>
      <c r="E641" s="8"/>
      <c r="F641" s="8"/>
      <c r="G641" s="8"/>
      <c r="H641" s="8"/>
      <c r="I641" s="8"/>
      <c r="J641" s="8"/>
    </row>
    <row r="642">
      <c r="C642" s="8"/>
      <c r="D642" s="8"/>
      <c r="E642" s="8"/>
      <c r="F642" s="8"/>
      <c r="G642" s="8"/>
      <c r="H642" s="8"/>
      <c r="I642" s="8"/>
      <c r="J642" s="8"/>
    </row>
    <row r="643">
      <c r="C643" s="8"/>
      <c r="D643" s="8"/>
      <c r="E643" s="8"/>
      <c r="F643" s="8"/>
      <c r="G643" s="8"/>
      <c r="H643" s="8"/>
      <c r="I643" s="8"/>
      <c r="J643" s="8"/>
    </row>
    <row r="644">
      <c r="C644" s="8"/>
      <c r="D644" s="8"/>
      <c r="E644" s="8"/>
      <c r="F644" s="8"/>
      <c r="G644" s="8"/>
      <c r="H644" s="8"/>
      <c r="I644" s="8"/>
      <c r="J644" s="8"/>
    </row>
    <row r="645">
      <c r="C645" s="8"/>
      <c r="D645" s="8"/>
      <c r="E645" s="8"/>
      <c r="F645" s="8"/>
      <c r="G645" s="8"/>
      <c r="H645" s="8"/>
      <c r="I645" s="8"/>
      <c r="J645" s="8"/>
    </row>
    <row r="646">
      <c r="C646" s="8"/>
      <c r="D646" s="8"/>
      <c r="E646" s="8"/>
      <c r="F646" s="8"/>
      <c r="G646" s="8"/>
      <c r="H646" s="8"/>
      <c r="I646" s="8"/>
      <c r="J646" s="8"/>
    </row>
    <row r="647">
      <c r="C647" s="8"/>
      <c r="D647" s="8"/>
      <c r="E647" s="8"/>
      <c r="F647" s="8"/>
      <c r="G647" s="8"/>
      <c r="H647" s="8"/>
      <c r="I647" s="8"/>
      <c r="J647" s="8"/>
    </row>
    <row r="648">
      <c r="C648" s="8"/>
      <c r="D648" s="8"/>
      <c r="E648" s="8"/>
      <c r="F648" s="8"/>
      <c r="G648" s="8"/>
      <c r="H648" s="8"/>
      <c r="I648" s="8"/>
      <c r="J648" s="8"/>
    </row>
    <row r="649">
      <c r="C649" s="8"/>
      <c r="D649" s="8"/>
      <c r="E649" s="8"/>
      <c r="F649" s="8"/>
      <c r="G649" s="8"/>
      <c r="H649" s="8"/>
      <c r="I649" s="8"/>
      <c r="J649" s="8"/>
    </row>
    <row r="650">
      <c r="C650" s="8"/>
      <c r="D650" s="8"/>
      <c r="E650" s="8"/>
      <c r="F650" s="8"/>
      <c r="G650" s="8"/>
      <c r="H650" s="8"/>
      <c r="I650" s="8"/>
      <c r="J650" s="8"/>
    </row>
    <row r="651">
      <c r="C651" s="8"/>
      <c r="D651" s="8"/>
      <c r="E651" s="8"/>
      <c r="F651" s="8"/>
      <c r="G651" s="8"/>
      <c r="H651" s="8"/>
      <c r="I651" s="8"/>
      <c r="J651" s="8"/>
    </row>
    <row r="652">
      <c r="C652" s="8"/>
      <c r="D652" s="8"/>
      <c r="E652" s="8"/>
      <c r="F652" s="8"/>
      <c r="G652" s="8"/>
      <c r="H652" s="8"/>
      <c r="I652" s="8"/>
      <c r="J652" s="8"/>
    </row>
    <row r="653">
      <c r="C653" s="8"/>
      <c r="D653" s="8"/>
      <c r="E653" s="8"/>
      <c r="F653" s="8"/>
      <c r="G653" s="8"/>
      <c r="H653" s="8"/>
      <c r="I653" s="8"/>
      <c r="J653" s="8"/>
    </row>
    <row r="654">
      <c r="C654" s="8"/>
      <c r="D654" s="8"/>
      <c r="E654" s="8"/>
      <c r="F654" s="8"/>
      <c r="G654" s="8"/>
      <c r="H654" s="8"/>
      <c r="I654" s="8"/>
      <c r="J654" s="8"/>
    </row>
    <row r="655">
      <c r="C655" s="8"/>
      <c r="D655" s="8"/>
      <c r="E655" s="8"/>
      <c r="F655" s="8"/>
      <c r="G655" s="8"/>
      <c r="H655" s="8"/>
      <c r="I655" s="8"/>
      <c r="J655" s="8"/>
    </row>
    <row r="656">
      <c r="C656" s="8"/>
      <c r="D656" s="8"/>
      <c r="E656" s="8"/>
      <c r="F656" s="8"/>
      <c r="G656" s="8"/>
      <c r="H656" s="8"/>
      <c r="I656" s="8"/>
      <c r="J656" s="8"/>
    </row>
    <row r="657">
      <c r="C657" s="8"/>
      <c r="D657" s="8"/>
      <c r="E657" s="8"/>
      <c r="F657" s="8"/>
      <c r="G657" s="8"/>
      <c r="H657" s="8"/>
      <c r="I657" s="8"/>
      <c r="J657" s="8"/>
    </row>
    <row r="658">
      <c r="C658" s="8"/>
      <c r="D658" s="8"/>
      <c r="E658" s="8"/>
      <c r="F658" s="8"/>
      <c r="G658" s="8"/>
      <c r="H658" s="8"/>
      <c r="I658" s="8"/>
      <c r="J658" s="8"/>
    </row>
    <row r="659">
      <c r="C659" s="8"/>
      <c r="D659" s="8"/>
      <c r="E659" s="8"/>
      <c r="F659" s="8"/>
      <c r="G659" s="8"/>
      <c r="H659" s="8"/>
      <c r="I659" s="8"/>
      <c r="J659" s="8"/>
    </row>
    <row r="660">
      <c r="C660" s="8"/>
      <c r="D660" s="8"/>
      <c r="E660" s="8"/>
      <c r="F660" s="8"/>
      <c r="G660" s="8"/>
      <c r="H660" s="8"/>
      <c r="I660" s="8"/>
      <c r="J660" s="8"/>
    </row>
    <row r="661">
      <c r="C661" s="8"/>
      <c r="D661" s="8"/>
      <c r="E661" s="8"/>
      <c r="F661" s="8"/>
      <c r="G661" s="8"/>
      <c r="H661" s="8"/>
      <c r="I661" s="8"/>
      <c r="J661" s="8"/>
    </row>
    <row r="662">
      <c r="C662" s="8"/>
      <c r="D662" s="8"/>
      <c r="E662" s="8"/>
      <c r="F662" s="8"/>
      <c r="G662" s="8"/>
      <c r="H662" s="8"/>
      <c r="I662" s="8"/>
      <c r="J662" s="8"/>
    </row>
    <row r="663">
      <c r="C663" s="8"/>
      <c r="D663" s="8"/>
      <c r="E663" s="8"/>
      <c r="F663" s="8"/>
      <c r="G663" s="8"/>
      <c r="H663" s="8"/>
      <c r="I663" s="8"/>
      <c r="J663" s="8"/>
    </row>
    <row r="664">
      <c r="C664" s="8"/>
      <c r="D664" s="8"/>
      <c r="E664" s="8"/>
      <c r="F664" s="8"/>
      <c r="G664" s="8"/>
      <c r="H664" s="8"/>
      <c r="I664" s="8"/>
      <c r="J664" s="8"/>
    </row>
    <row r="665">
      <c r="C665" s="8"/>
      <c r="D665" s="8"/>
      <c r="E665" s="8"/>
      <c r="F665" s="8"/>
      <c r="G665" s="8"/>
      <c r="H665" s="8"/>
      <c r="I665" s="8"/>
      <c r="J665" s="8"/>
    </row>
    <row r="666">
      <c r="C666" s="8"/>
      <c r="D666" s="8"/>
      <c r="E666" s="8"/>
      <c r="F666" s="8"/>
      <c r="G666" s="8"/>
      <c r="H666" s="8"/>
      <c r="I666" s="8"/>
      <c r="J666" s="8"/>
    </row>
    <row r="667">
      <c r="C667" s="8"/>
      <c r="D667" s="8"/>
      <c r="E667" s="8"/>
      <c r="F667" s="8"/>
      <c r="G667" s="8"/>
      <c r="H667" s="8"/>
      <c r="I667" s="8"/>
      <c r="J667" s="8"/>
    </row>
    <row r="668">
      <c r="C668" s="8"/>
      <c r="D668" s="8"/>
      <c r="E668" s="8"/>
      <c r="F668" s="8"/>
      <c r="G668" s="8"/>
      <c r="H668" s="8"/>
      <c r="I668" s="8"/>
      <c r="J668" s="8"/>
    </row>
    <row r="669">
      <c r="C669" s="8"/>
      <c r="D669" s="8"/>
      <c r="E669" s="8"/>
      <c r="F669" s="8"/>
      <c r="G669" s="8"/>
      <c r="H669" s="8"/>
      <c r="I669" s="8"/>
      <c r="J669" s="8"/>
    </row>
    <row r="670">
      <c r="C670" s="8"/>
      <c r="D670" s="8"/>
      <c r="E670" s="8"/>
      <c r="F670" s="8"/>
      <c r="G670" s="8"/>
      <c r="H670" s="8"/>
      <c r="I670" s="8"/>
      <c r="J670" s="8"/>
    </row>
    <row r="671">
      <c r="C671" s="8"/>
      <c r="D671" s="8"/>
      <c r="E671" s="8"/>
      <c r="F671" s="8"/>
      <c r="G671" s="8"/>
      <c r="H671" s="8"/>
      <c r="I671" s="8"/>
      <c r="J671" s="8"/>
    </row>
    <row r="672">
      <c r="C672" s="8"/>
      <c r="D672" s="8"/>
      <c r="E672" s="8"/>
      <c r="F672" s="8"/>
      <c r="G672" s="8"/>
      <c r="H672" s="8"/>
      <c r="I672" s="8"/>
      <c r="J672" s="8"/>
    </row>
    <row r="673">
      <c r="C673" s="8"/>
      <c r="D673" s="8"/>
      <c r="E673" s="8"/>
      <c r="F673" s="8"/>
      <c r="G673" s="8"/>
      <c r="H673" s="8"/>
      <c r="I673" s="8"/>
      <c r="J673" s="8"/>
    </row>
    <row r="674">
      <c r="C674" s="8"/>
      <c r="D674" s="8"/>
      <c r="E674" s="8"/>
      <c r="F674" s="8"/>
      <c r="G674" s="8"/>
      <c r="H674" s="8"/>
      <c r="I674" s="8"/>
      <c r="J674" s="8"/>
    </row>
    <row r="675">
      <c r="C675" s="8"/>
      <c r="D675" s="8"/>
      <c r="E675" s="8"/>
      <c r="F675" s="8"/>
      <c r="G675" s="8"/>
      <c r="H675" s="8"/>
      <c r="I675" s="8"/>
      <c r="J675" s="8"/>
    </row>
    <row r="676">
      <c r="C676" s="8"/>
      <c r="D676" s="8"/>
      <c r="E676" s="8"/>
      <c r="F676" s="8"/>
      <c r="G676" s="8"/>
      <c r="H676" s="8"/>
      <c r="I676" s="8"/>
      <c r="J676" s="8"/>
    </row>
    <row r="677">
      <c r="C677" s="8"/>
      <c r="D677" s="8"/>
      <c r="E677" s="8"/>
      <c r="F677" s="8"/>
      <c r="G677" s="8"/>
      <c r="H677" s="8"/>
      <c r="I677" s="8"/>
      <c r="J677" s="8"/>
    </row>
    <row r="678">
      <c r="C678" s="8"/>
      <c r="D678" s="8"/>
      <c r="E678" s="8"/>
      <c r="F678" s="8"/>
      <c r="G678" s="8"/>
      <c r="H678" s="8"/>
      <c r="I678" s="8"/>
      <c r="J678" s="8"/>
    </row>
    <row r="679">
      <c r="C679" s="8"/>
      <c r="D679" s="8"/>
      <c r="E679" s="8"/>
      <c r="F679" s="8"/>
      <c r="G679" s="8"/>
      <c r="H679" s="8"/>
      <c r="I679" s="8"/>
      <c r="J679" s="8"/>
    </row>
    <row r="680">
      <c r="C680" s="8"/>
      <c r="D680" s="8"/>
      <c r="E680" s="8"/>
      <c r="F680" s="8"/>
      <c r="G680" s="8"/>
      <c r="H680" s="8"/>
      <c r="I680" s="8"/>
      <c r="J680" s="8"/>
    </row>
    <row r="681">
      <c r="C681" s="8"/>
      <c r="D681" s="8"/>
      <c r="E681" s="8"/>
      <c r="F681" s="8"/>
      <c r="G681" s="8"/>
      <c r="H681" s="8"/>
      <c r="I681" s="8"/>
      <c r="J681" s="8"/>
    </row>
    <row r="682">
      <c r="C682" s="8"/>
      <c r="D682" s="8"/>
      <c r="E682" s="8"/>
      <c r="F682" s="8"/>
      <c r="G682" s="8"/>
      <c r="H682" s="8"/>
      <c r="I682" s="8"/>
      <c r="J682" s="8"/>
    </row>
    <row r="683">
      <c r="C683" s="8"/>
      <c r="D683" s="8"/>
      <c r="E683" s="8"/>
      <c r="F683" s="8"/>
      <c r="G683" s="8"/>
      <c r="H683" s="8"/>
      <c r="I683" s="8"/>
      <c r="J683" s="8"/>
    </row>
    <row r="684">
      <c r="C684" s="8"/>
      <c r="D684" s="8"/>
      <c r="E684" s="8"/>
      <c r="F684" s="8"/>
      <c r="G684" s="8"/>
      <c r="H684" s="8"/>
      <c r="I684" s="8"/>
      <c r="J684" s="8"/>
    </row>
    <row r="685">
      <c r="C685" s="8"/>
      <c r="D685" s="8"/>
      <c r="E685" s="8"/>
      <c r="F685" s="8"/>
      <c r="G685" s="8"/>
      <c r="H685" s="8"/>
      <c r="I685" s="8"/>
      <c r="J685" s="8"/>
    </row>
    <row r="686">
      <c r="C686" s="8"/>
      <c r="D686" s="8"/>
      <c r="E686" s="8"/>
      <c r="F686" s="8"/>
      <c r="G686" s="8"/>
      <c r="H686" s="8"/>
      <c r="I686" s="8"/>
      <c r="J686" s="8"/>
    </row>
    <row r="687">
      <c r="C687" s="8"/>
      <c r="D687" s="8"/>
      <c r="E687" s="8"/>
      <c r="F687" s="8"/>
      <c r="G687" s="8"/>
      <c r="H687" s="8"/>
      <c r="I687" s="8"/>
      <c r="J687" s="8"/>
    </row>
    <row r="688">
      <c r="C688" s="8"/>
      <c r="D688" s="8"/>
      <c r="E688" s="8"/>
      <c r="F688" s="8"/>
      <c r="G688" s="8"/>
      <c r="H688" s="8"/>
      <c r="I688" s="8"/>
      <c r="J688" s="8"/>
    </row>
    <row r="689">
      <c r="C689" s="8"/>
      <c r="D689" s="8"/>
      <c r="E689" s="8"/>
      <c r="F689" s="8"/>
      <c r="G689" s="8"/>
      <c r="H689" s="8"/>
      <c r="I689" s="8"/>
      <c r="J689" s="8"/>
    </row>
    <row r="690">
      <c r="C690" s="8"/>
      <c r="D690" s="8"/>
      <c r="E690" s="8"/>
      <c r="F690" s="8"/>
      <c r="G690" s="8"/>
      <c r="H690" s="8"/>
      <c r="I690" s="8"/>
      <c r="J690" s="8"/>
    </row>
    <row r="691">
      <c r="C691" s="8"/>
      <c r="D691" s="8"/>
      <c r="E691" s="8"/>
      <c r="F691" s="8"/>
      <c r="G691" s="8"/>
      <c r="H691" s="8"/>
      <c r="I691" s="8"/>
      <c r="J691" s="8"/>
    </row>
    <row r="692">
      <c r="C692" s="8"/>
      <c r="D692" s="8"/>
      <c r="E692" s="8"/>
      <c r="F692" s="8"/>
      <c r="G692" s="8"/>
      <c r="H692" s="8"/>
      <c r="I692" s="8"/>
      <c r="J692" s="8"/>
    </row>
    <row r="693">
      <c r="C693" s="8"/>
      <c r="D693" s="8"/>
      <c r="E693" s="8"/>
      <c r="F693" s="8"/>
      <c r="G693" s="8"/>
      <c r="H693" s="8"/>
      <c r="I693" s="8"/>
      <c r="J693" s="8"/>
    </row>
    <row r="694">
      <c r="C694" s="8"/>
      <c r="D694" s="8"/>
      <c r="E694" s="8"/>
      <c r="F694" s="8"/>
      <c r="G694" s="8"/>
      <c r="H694" s="8"/>
      <c r="I694" s="8"/>
      <c r="J694" s="8"/>
    </row>
    <row r="695">
      <c r="C695" s="8"/>
      <c r="D695" s="8"/>
      <c r="E695" s="8"/>
      <c r="F695" s="8"/>
      <c r="G695" s="8"/>
      <c r="H695" s="8"/>
      <c r="I695" s="8"/>
      <c r="J695" s="8"/>
    </row>
    <row r="696">
      <c r="C696" s="8"/>
      <c r="D696" s="8"/>
      <c r="E696" s="8"/>
      <c r="F696" s="8"/>
      <c r="G696" s="8"/>
      <c r="H696" s="8"/>
      <c r="I696" s="8"/>
      <c r="J696" s="8"/>
    </row>
    <row r="697">
      <c r="C697" s="8"/>
      <c r="D697" s="8"/>
      <c r="E697" s="8"/>
      <c r="F697" s="8"/>
      <c r="G697" s="8"/>
      <c r="H697" s="8"/>
      <c r="I697" s="8"/>
      <c r="J697" s="8"/>
    </row>
    <row r="698">
      <c r="C698" s="8"/>
      <c r="D698" s="8"/>
      <c r="E698" s="8"/>
      <c r="F698" s="8"/>
      <c r="G698" s="8"/>
      <c r="H698" s="8"/>
      <c r="I698" s="8"/>
      <c r="J698" s="8"/>
    </row>
    <row r="699">
      <c r="C699" s="8"/>
      <c r="D699" s="8"/>
      <c r="E699" s="8"/>
      <c r="F699" s="8"/>
      <c r="G699" s="8"/>
      <c r="H699" s="8"/>
      <c r="I699" s="8"/>
      <c r="J699" s="8"/>
    </row>
    <row r="700">
      <c r="C700" s="8"/>
      <c r="D700" s="8"/>
      <c r="E700" s="8"/>
      <c r="F700" s="8"/>
      <c r="G700" s="8"/>
      <c r="H700" s="8"/>
      <c r="I700" s="8"/>
      <c r="J700" s="8"/>
    </row>
    <row r="701">
      <c r="C701" s="8"/>
      <c r="D701" s="8"/>
      <c r="E701" s="8"/>
      <c r="F701" s="8"/>
      <c r="G701" s="8"/>
      <c r="H701" s="8"/>
      <c r="I701" s="8"/>
      <c r="J701" s="8"/>
    </row>
    <row r="702">
      <c r="C702" s="8"/>
      <c r="D702" s="8"/>
      <c r="E702" s="8"/>
      <c r="F702" s="8"/>
      <c r="G702" s="8"/>
      <c r="H702" s="8"/>
      <c r="I702" s="8"/>
      <c r="J702" s="8"/>
    </row>
    <row r="703">
      <c r="C703" s="8"/>
      <c r="D703" s="8"/>
      <c r="E703" s="8"/>
      <c r="F703" s="8"/>
      <c r="G703" s="8"/>
      <c r="H703" s="8"/>
      <c r="I703" s="8"/>
      <c r="J703" s="8"/>
    </row>
    <row r="704">
      <c r="C704" s="8"/>
      <c r="D704" s="8"/>
      <c r="E704" s="8"/>
      <c r="F704" s="8"/>
      <c r="G704" s="8"/>
      <c r="H704" s="8"/>
      <c r="I704" s="8"/>
      <c r="J704" s="8"/>
    </row>
    <row r="705">
      <c r="C705" s="8"/>
      <c r="D705" s="8"/>
      <c r="E705" s="8"/>
      <c r="F705" s="8"/>
      <c r="G705" s="8"/>
      <c r="H705" s="8"/>
      <c r="I705" s="8"/>
      <c r="J705" s="8"/>
    </row>
    <row r="706">
      <c r="C706" s="8"/>
      <c r="D706" s="8"/>
      <c r="E706" s="8"/>
      <c r="F706" s="8"/>
      <c r="G706" s="8"/>
      <c r="H706" s="8"/>
      <c r="I706" s="8"/>
      <c r="J706" s="8"/>
    </row>
    <row r="707">
      <c r="C707" s="8"/>
      <c r="D707" s="8"/>
      <c r="E707" s="8"/>
      <c r="F707" s="8"/>
      <c r="G707" s="8"/>
      <c r="H707" s="8"/>
      <c r="I707" s="8"/>
      <c r="J707" s="8"/>
    </row>
    <row r="708">
      <c r="C708" s="8"/>
      <c r="D708" s="8"/>
      <c r="E708" s="8"/>
      <c r="F708" s="8"/>
      <c r="G708" s="8"/>
      <c r="H708" s="8"/>
      <c r="I708" s="8"/>
      <c r="J708" s="8"/>
    </row>
    <row r="709">
      <c r="C709" s="8"/>
      <c r="D709" s="8"/>
      <c r="E709" s="8"/>
      <c r="F709" s="8"/>
      <c r="G709" s="8"/>
      <c r="H709" s="8"/>
      <c r="I709" s="8"/>
      <c r="J709" s="8"/>
    </row>
    <row r="710">
      <c r="C710" s="8"/>
      <c r="D710" s="8"/>
      <c r="E710" s="8"/>
      <c r="F710" s="8"/>
      <c r="G710" s="8"/>
      <c r="H710" s="8"/>
      <c r="I710" s="8"/>
      <c r="J710" s="8"/>
    </row>
    <row r="711">
      <c r="C711" s="8"/>
      <c r="D711" s="8"/>
      <c r="E711" s="8"/>
      <c r="F711" s="8"/>
      <c r="G711" s="8"/>
      <c r="H711" s="8"/>
      <c r="I711" s="8"/>
      <c r="J711" s="8"/>
    </row>
    <row r="712">
      <c r="C712" s="8"/>
      <c r="D712" s="8"/>
      <c r="E712" s="8"/>
      <c r="F712" s="8"/>
      <c r="G712" s="8"/>
      <c r="H712" s="8"/>
      <c r="I712" s="8"/>
      <c r="J712" s="8"/>
    </row>
    <row r="713">
      <c r="C713" s="8"/>
      <c r="D713" s="8"/>
      <c r="E713" s="8"/>
      <c r="F713" s="8"/>
      <c r="G713" s="8"/>
      <c r="H713" s="8"/>
      <c r="I713" s="8"/>
      <c r="J713" s="8"/>
    </row>
    <row r="714">
      <c r="C714" s="8"/>
      <c r="D714" s="8"/>
      <c r="E714" s="8"/>
      <c r="F714" s="8"/>
      <c r="G714" s="8"/>
      <c r="H714" s="8"/>
      <c r="I714" s="8"/>
      <c r="J714" s="8"/>
    </row>
    <row r="715">
      <c r="C715" s="8"/>
      <c r="D715" s="8"/>
      <c r="E715" s="8"/>
      <c r="F715" s="8"/>
      <c r="G715" s="8"/>
      <c r="H715" s="8"/>
      <c r="I715" s="8"/>
      <c r="J715" s="8"/>
    </row>
    <row r="716">
      <c r="C716" s="8"/>
      <c r="D716" s="8"/>
      <c r="E716" s="8"/>
      <c r="F716" s="8"/>
      <c r="G716" s="8"/>
      <c r="H716" s="8"/>
      <c r="I716" s="8"/>
      <c r="J716" s="8"/>
    </row>
    <row r="717">
      <c r="C717" s="8"/>
      <c r="D717" s="8"/>
      <c r="E717" s="8"/>
      <c r="F717" s="8"/>
      <c r="G717" s="8"/>
      <c r="H717" s="8"/>
      <c r="I717" s="8"/>
      <c r="J717" s="8"/>
    </row>
    <row r="718">
      <c r="C718" s="8"/>
      <c r="D718" s="8"/>
      <c r="E718" s="8"/>
      <c r="F718" s="8"/>
      <c r="G718" s="8"/>
      <c r="H718" s="8"/>
      <c r="I718" s="8"/>
      <c r="J718" s="8"/>
    </row>
    <row r="719">
      <c r="C719" s="8"/>
      <c r="D719" s="8"/>
      <c r="E719" s="8"/>
      <c r="F719" s="8"/>
      <c r="G719" s="8"/>
      <c r="H719" s="8"/>
      <c r="I719" s="8"/>
      <c r="J719" s="8"/>
    </row>
    <row r="720">
      <c r="C720" s="8"/>
      <c r="D720" s="8"/>
      <c r="E720" s="8"/>
      <c r="F720" s="8"/>
      <c r="G720" s="8"/>
      <c r="H720" s="8"/>
      <c r="I720" s="8"/>
      <c r="J720" s="8"/>
    </row>
    <row r="721">
      <c r="C721" s="8"/>
      <c r="D721" s="8"/>
      <c r="E721" s="8"/>
      <c r="F721" s="8"/>
      <c r="G721" s="8"/>
      <c r="H721" s="8"/>
      <c r="I721" s="8"/>
      <c r="J721" s="8"/>
    </row>
    <row r="722">
      <c r="C722" s="8"/>
      <c r="D722" s="8"/>
      <c r="E722" s="8"/>
      <c r="F722" s="8"/>
      <c r="G722" s="8"/>
      <c r="H722" s="8"/>
      <c r="I722" s="8"/>
      <c r="J722" s="8"/>
    </row>
    <row r="723">
      <c r="C723" s="8"/>
      <c r="D723" s="8"/>
      <c r="E723" s="8"/>
      <c r="F723" s="8"/>
      <c r="G723" s="8"/>
      <c r="H723" s="8"/>
      <c r="I723" s="8"/>
      <c r="J723" s="8"/>
    </row>
    <row r="724">
      <c r="C724" s="8"/>
      <c r="D724" s="8"/>
      <c r="E724" s="8"/>
      <c r="F724" s="8"/>
      <c r="G724" s="8"/>
      <c r="H724" s="8"/>
      <c r="I724" s="8"/>
      <c r="J724" s="8"/>
    </row>
    <row r="725">
      <c r="C725" s="8"/>
      <c r="D725" s="8"/>
      <c r="E725" s="8"/>
      <c r="F725" s="8"/>
      <c r="G725" s="8"/>
      <c r="H725" s="8"/>
      <c r="I725" s="8"/>
      <c r="J725" s="8"/>
    </row>
    <row r="726">
      <c r="C726" s="8"/>
      <c r="D726" s="8"/>
      <c r="E726" s="8"/>
      <c r="F726" s="8"/>
      <c r="G726" s="8"/>
      <c r="H726" s="8"/>
      <c r="I726" s="8"/>
      <c r="J726" s="8"/>
    </row>
    <row r="727">
      <c r="C727" s="8"/>
      <c r="D727" s="8"/>
      <c r="E727" s="8"/>
      <c r="F727" s="8"/>
      <c r="G727" s="8"/>
      <c r="H727" s="8"/>
      <c r="I727" s="8"/>
      <c r="J727" s="8"/>
    </row>
    <row r="728">
      <c r="C728" s="8"/>
      <c r="D728" s="8"/>
      <c r="E728" s="8"/>
      <c r="F728" s="8"/>
      <c r="G728" s="8"/>
      <c r="H728" s="8"/>
      <c r="I728" s="8"/>
      <c r="J728" s="8"/>
    </row>
    <row r="729">
      <c r="C729" s="8"/>
      <c r="D729" s="8"/>
      <c r="E729" s="8"/>
      <c r="F729" s="8"/>
      <c r="G729" s="8"/>
      <c r="H729" s="8"/>
      <c r="I729" s="8"/>
      <c r="J729" s="8"/>
    </row>
    <row r="730">
      <c r="C730" s="8"/>
      <c r="D730" s="8"/>
      <c r="E730" s="8"/>
      <c r="F730" s="8"/>
      <c r="G730" s="8"/>
      <c r="H730" s="8"/>
      <c r="I730" s="8"/>
      <c r="J730" s="8"/>
    </row>
    <row r="731">
      <c r="C731" s="8"/>
      <c r="D731" s="8"/>
      <c r="E731" s="8"/>
      <c r="F731" s="8"/>
      <c r="G731" s="8"/>
      <c r="H731" s="8"/>
      <c r="I731" s="8"/>
      <c r="J731" s="8"/>
    </row>
    <row r="732">
      <c r="C732" s="8"/>
      <c r="D732" s="8"/>
      <c r="E732" s="8"/>
      <c r="F732" s="8"/>
      <c r="G732" s="8"/>
      <c r="H732" s="8"/>
      <c r="I732" s="8"/>
      <c r="J732" s="8"/>
    </row>
    <row r="733">
      <c r="C733" s="8"/>
      <c r="D733" s="8"/>
      <c r="E733" s="8"/>
      <c r="F733" s="8"/>
      <c r="G733" s="8"/>
      <c r="H733" s="8"/>
      <c r="I733" s="8"/>
      <c r="J733" s="8"/>
    </row>
    <row r="734">
      <c r="C734" s="8"/>
      <c r="D734" s="8"/>
      <c r="E734" s="8"/>
      <c r="F734" s="8"/>
      <c r="G734" s="8"/>
      <c r="H734" s="8"/>
      <c r="I734" s="8"/>
      <c r="J734" s="8"/>
    </row>
    <row r="735">
      <c r="C735" s="8"/>
      <c r="D735" s="8"/>
      <c r="E735" s="8"/>
      <c r="F735" s="8"/>
      <c r="G735" s="8"/>
      <c r="H735" s="8"/>
      <c r="I735" s="8"/>
      <c r="J735" s="8"/>
    </row>
    <row r="736">
      <c r="C736" s="8"/>
      <c r="D736" s="8"/>
      <c r="E736" s="8"/>
      <c r="F736" s="8"/>
      <c r="G736" s="8"/>
      <c r="H736" s="8"/>
      <c r="I736" s="8"/>
      <c r="J736" s="8"/>
    </row>
    <row r="737">
      <c r="C737" s="8"/>
      <c r="D737" s="8"/>
      <c r="E737" s="8"/>
      <c r="F737" s="8"/>
      <c r="G737" s="8"/>
      <c r="H737" s="8"/>
      <c r="I737" s="8"/>
      <c r="J737" s="8"/>
    </row>
    <row r="738">
      <c r="C738" s="8"/>
      <c r="D738" s="8"/>
      <c r="E738" s="8"/>
      <c r="F738" s="8"/>
      <c r="G738" s="8"/>
      <c r="H738" s="8"/>
      <c r="I738" s="8"/>
      <c r="J738" s="8"/>
    </row>
    <row r="739">
      <c r="C739" s="8"/>
      <c r="D739" s="8"/>
      <c r="E739" s="8"/>
      <c r="F739" s="8"/>
      <c r="G739" s="8"/>
      <c r="H739" s="8"/>
      <c r="I739" s="8"/>
      <c r="J739" s="8"/>
    </row>
    <row r="740">
      <c r="C740" s="8"/>
      <c r="D740" s="8"/>
      <c r="E740" s="8"/>
      <c r="F740" s="8"/>
      <c r="G740" s="8"/>
      <c r="H740" s="8"/>
      <c r="I740" s="8"/>
      <c r="J740" s="8"/>
    </row>
    <row r="741">
      <c r="C741" s="8"/>
      <c r="D741" s="8"/>
      <c r="E741" s="8"/>
      <c r="F741" s="8"/>
      <c r="G741" s="8"/>
      <c r="H741" s="8"/>
      <c r="I741" s="8"/>
      <c r="J741" s="8"/>
    </row>
    <row r="742">
      <c r="C742" s="8"/>
      <c r="D742" s="8"/>
      <c r="E742" s="8"/>
      <c r="F742" s="8"/>
      <c r="G742" s="8"/>
      <c r="H742" s="8"/>
      <c r="I742" s="8"/>
      <c r="J742" s="8"/>
    </row>
    <row r="743">
      <c r="C743" s="8"/>
      <c r="D743" s="8"/>
      <c r="E743" s="8"/>
      <c r="F743" s="8"/>
      <c r="G743" s="8"/>
      <c r="H743" s="8"/>
      <c r="I743" s="8"/>
      <c r="J743" s="8"/>
    </row>
    <row r="744">
      <c r="C744" s="8"/>
      <c r="D744" s="8"/>
      <c r="E744" s="8"/>
      <c r="F744" s="8"/>
      <c r="G744" s="8"/>
      <c r="H744" s="8"/>
      <c r="I744" s="8"/>
      <c r="J744" s="8"/>
    </row>
    <row r="745">
      <c r="C745" s="8"/>
      <c r="D745" s="8"/>
      <c r="E745" s="8"/>
      <c r="F745" s="8"/>
      <c r="G745" s="8"/>
      <c r="H745" s="8"/>
      <c r="I745" s="8"/>
      <c r="J745" s="8"/>
    </row>
    <row r="746">
      <c r="C746" s="8"/>
      <c r="D746" s="8"/>
      <c r="E746" s="8"/>
      <c r="F746" s="8"/>
      <c r="G746" s="8"/>
      <c r="H746" s="8"/>
      <c r="I746" s="8"/>
      <c r="J746" s="8"/>
    </row>
    <row r="747">
      <c r="C747" s="8"/>
      <c r="D747" s="8"/>
      <c r="E747" s="8"/>
      <c r="F747" s="8"/>
      <c r="G747" s="8"/>
      <c r="H747" s="8"/>
      <c r="I747" s="8"/>
      <c r="J747" s="8"/>
    </row>
    <row r="748">
      <c r="C748" s="8"/>
      <c r="D748" s="8"/>
      <c r="E748" s="8"/>
      <c r="F748" s="8"/>
      <c r="G748" s="8"/>
      <c r="H748" s="8"/>
      <c r="I748" s="8"/>
      <c r="J748" s="8"/>
    </row>
    <row r="749">
      <c r="C749" s="8"/>
      <c r="D749" s="8"/>
      <c r="E749" s="8"/>
      <c r="F749" s="8"/>
      <c r="G749" s="8"/>
      <c r="H749" s="8"/>
      <c r="I749" s="8"/>
      <c r="J749" s="8"/>
    </row>
    <row r="750">
      <c r="C750" s="8"/>
      <c r="D750" s="8"/>
      <c r="E750" s="8"/>
      <c r="F750" s="8"/>
      <c r="G750" s="8"/>
      <c r="H750" s="8"/>
      <c r="I750" s="8"/>
      <c r="J750" s="8"/>
    </row>
    <row r="751">
      <c r="C751" s="8"/>
      <c r="D751" s="8"/>
      <c r="E751" s="8"/>
      <c r="F751" s="8"/>
      <c r="G751" s="8"/>
      <c r="H751" s="8"/>
      <c r="I751" s="8"/>
      <c r="J751" s="8"/>
    </row>
    <row r="752">
      <c r="C752" s="8"/>
      <c r="D752" s="8"/>
      <c r="E752" s="8"/>
      <c r="F752" s="8"/>
      <c r="G752" s="8"/>
      <c r="H752" s="8"/>
      <c r="I752" s="8"/>
      <c r="J752" s="8"/>
    </row>
    <row r="753">
      <c r="C753" s="8"/>
      <c r="D753" s="8"/>
      <c r="E753" s="8"/>
      <c r="F753" s="8"/>
      <c r="G753" s="8"/>
      <c r="H753" s="8"/>
      <c r="I753" s="8"/>
      <c r="J753" s="8"/>
    </row>
    <row r="754">
      <c r="C754" s="8"/>
      <c r="D754" s="8"/>
      <c r="E754" s="8"/>
      <c r="F754" s="8"/>
      <c r="G754" s="8"/>
      <c r="H754" s="8"/>
      <c r="I754" s="8"/>
      <c r="J754" s="8"/>
    </row>
    <row r="755">
      <c r="C755" s="8"/>
      <c r="D755" s="8"/>
      <c r="E755" s="8"/>
      <c r="F755" s="8"/>
      <c r="G755" s="8"/>
      <c r="H755" s="8"/>
      <c r="I755" s="8"/>
      <c r="J755" s="8"/>
    </row>
    <row r="756">
      <c r="C756" s="8"/>
      <c r="D756" s="8"/>
      <c r="E756" s="8"/>
      <c r="F756" s="8"/>
      <c r="G756" s="8"/>
      <c r="H756" s="8"/>
      <c r="I756" s="8"/>
      <c r="J756" s="8"/>
    </row>
    <row r="757">
      <c r="C757" s="8"/>
      <c r="D757" s="8"/>
      <c r="E757" s="8"/>
      <c r="F757" s="8"/>
      <c r="G757" s="8"/>
      <c r="H757" s="8"/>
      <c r="I757" s="8"/>
      <c r="J757" s="8"/>
    </row>
    <row r="758">
      <c r="C758" s="8"/>
      <c r="D758" s="8"/>
      <c r="E758" s="8"/>
      <c r="F758" s="8"/>
      <c r="G758" s="8"/>
      <c r="H758" s="8"/>
      <c r="I758" s="8"/>
      <c r="J758" s="8"/>
    </row>
    <row r="759">
      <c r="C759" s="8"/>
      <c r="D759" s="8"/>
      <c r="E759" s="8"/>
      <c r="F759" s="8"/>
      <c r="G759" s="8"/>
      <c r="H759" s="8"/>
      <c r="I759" s="8"/>
      <c r="J759" s="8"/>
    </row>
    <row r="760">
      <c r="C760" s="8"/>
      <c r="D760" s="8"/>
      <c r="E760" s="8"/>
      <c r="F760" s="8"/>
      <c r="G760" s="8"/>
      <c r="H760" s="8"/>
      <c r="I760" s="8"/>
      <c r="J760" s="8"/>
    </row>
    <row r="761">
      <c r="C761" s="8"/>
      <c r="D761" s="8"/>
      <c r="E761" s="8"/>
      <c r="F761" s="8"/>
      <c r="G761" s="8"/>
      <c r="H761" s="8"/>
      <c r="I761" s="8"/>
      <c r="J761" s="8"/>
    </row>
    <row r="762">
      <c r="C762" s="8"/>
      <c r="D762" s="8"/>
      <c r="E762" s="8"/>
      <c r="F762" s="8"/>
      <c r="G762" s="8"/>
      <c r="H762" s="8"/>
      <c r="I762" s="8"/>
      <c r="J762" s="8"/>
    </row>
    <row r="763">
      <c r="C763" s="8"/>
      <c r="D763" s="8"/>
      <c r="E763" s="8"/>
      <c r="F763" s="8"/>
      <c r="G763" s="8"/>
      <c r="H763" s="8"/>
      <c r="I763" s="8"/>
      <c r="J763" s="8"/>
    </row>
    <row r="764">
      <c r="C764" s="8"/>
      <c r="D764" s="8"/>
      <c r="E764" s="8"/>
      <c r="F764" s="8"/>
      <c r="G764" s="8"/>
      <c r="H764" s="8"/>
      <c r="I764" s="8"/>
      <c r="J764" s="8"/>
    </row>
    <row r="765">
      <c r="C765" s="8"/>
      <c r="D765" s="8"/>
      <c r="E765" s="8"/>
      <c r="F765" s="8"/>
      <c r="G765" s="8"/>
      <c r="H765" s="8"/>
      <c r="I765" s="8"/>
      <c r="J765" s="8"/>
    </row>
    <row r="766">
      <c r="C766" s="8"/>
      <c r="D766" s="8"/>
      <c r="E766" s="8"/>
      <c r="F766" s="8"/>
      <c r="G766" s="8"/>
      <c r="H766" s="8"/>
      <c r="I766" s="8"/>
      <c r="J766" s="8"/>
    </row>
    <row r="767">
      <c r="C767" s="8"/>
      <c r="D767" s="8"/>
      <c r="E767" s="8"/>
      <c r="F767" s="8"/>
      <c r="G767" s="8"/>
      <c r="H767" s="8"/>
      <c r="I767" s="8"/>
      <c r="J767" s="8"/>
    </row>
    <row r="768">
      <c r="C768" s="8"/>
      <c r="D768" s="8"/>
      <c r="E768" s="8"/>
      <c r="F768" s="8"/>
      <c r="G768" s="8"/>
      <c r="H768" s="8"/>
      <c r="I768" s="8"/>
      <c r="J768" s="8"/>
    </row>
    <row r="769">
      <c r="C769" s="8"/>
      <c r="D769" s="8"/>
      <c r="E769" s="8"/>
      <c r="F769" s="8"/>
      <c r="G769" s="8"/>
      <c r="H769" s="8"/>
      <c r="I769" s="8"/>
      <c r="J769" s="8"/>
    </row>
    <row r="770">
      <c r="C770" s="8"/>
      <c r="D770" s="8"/>
      <c r="E770" s="8"/>
      <c r="F770" s="8"/>
      <c r="G770" s="8"/>
      <c r="H770" s="8"/>
      <c r="I770" s="8"/>
      <c r="J770" s="8"/>
    </row>
    <row r="771">
      <c r="C771" s="8"/>
      <c r="D771" s="8"/>
      <c r="E771" s="8"/>
      <c r="F771" s="8"/>
      <c r="G771" s="8"/>
      <c r="H771" s="8"/>
      <c r="I771" s="8"/>
      <c r="J771" s="8"/>
    </row>
    <row r="772">
      <c r="C772" s="8"/>
      <c r="D772" s="8"/>
      <c r="E772" s="8"/>
      <c r="F772" s="8"/>
      <c r="G772" s="8"/>
      <c r="H772" s="8"/>
      <c r="I772" s="8"/>
      <c r="J772" s="8"/>
    </row>
    <row r="773">
      <c r="C773" s="8"/>
      <c r="D773" s="8"/>
      <c r="E773" s="8"/>
      <c r="F773" s="8"/>
      <c r="G773" s="8"/>
      <c r="H773" s="8"/>
      <c r="I773" s="8"/>
      <c r="J773" s="8"/>
    </row>
    <row r="774">
      <c r="C774" s="8"/>
      <c r="D774" s="8"/>
      <c r="E774" s="8"/>
      <c r="F774" s="8"/>
      <c r="G774" s="8"/>
      <c r="H774" s="8"/>
      <c r="I774" s="8"/>
      <c r="J774" s="8"/>
    </row>
    <row r="775">
      <c r="C775" s="8"/>
      <c r="D775" s="8"/>
      <c r="E775" s="8"/>
      <c r="F775" s="8"/>
      <c r="G775" s="8"/>
      <c r="H775" s="8"/>
      <c r="I775" s="8"/>
      <c r="J775" s="8"/>
    </row>
    <row r="776">
      <c r="C776" s="8"/>
      <c r="D776" s="8"/>
      <c r="E776" s="8"/>
      <c r="F776" s="8"/>
      <c r="G776" s="8"/>
      <c r="H776" s="8"/>
      <c r="I776" s="8"/>
      <c r="J776" s="8"/>
    </row>
    <row r="777">
      <c r="C777" s="8"/>
      <c r="D777" s="8"/>
      <c r="E777" s="8"/>
      <c r="F777" s="8"/>
      <c r="G777" s="8"/>
      <c r="H777" s="8"/>
      <c r="I777" s="8"/>
      <c r="J777" s="8"/>
    </row>
    <row r="778">
      <c r="C778" s="8"/>
      <c r="D778" s="8"/>
      <c r="E778" s="8"/>
      <c r="F778" s="8"/>
      <c r="G778" s="8"/>
      <c r="H778" s="8"/>
      <c r="I778" s="8"/>
      <c r="J778" s="8"/>
    </row>
    <row r="779">
      <c r="C779" s="8"/>
      <c r="D779" s="8"/>
      <c r="E779" s="8"/>
      <c r="F779" s="8"/>
      <c r="G779" s="8"/>
      <c r="H779" s="8"/>
      <c r="I779" s="8"/>
      <c r="J779" s="8"/>
    </row>
    <row r="780">
      <c r="C780" s="8"/>
      <c r="D780" s="8"/>
      <c r="E780" s="8"/>
      <c r="F780" s="8"/>
      <c r="G780" s="8"/>
      <c r="H780" s="8"/>
      <c r="I780" s="8"/>
      <c r="J780" s="8"/>
    </row>
    <row r="781">
      <c r="C781" s="8"/>
      <c r="D781" s="8"/>
      <c r="E781" s="8"/>
      <c r="F781" s="8"/>
      <c r="G781" s="8"/>
      <c r="H781" s="8"/>
      <c r="I781" s="8"/>
      <c r="J781" s="8"/>
    </row>
    <row r="782">
      <c r="C782" s="8"/>
      <c r="D782" s="8"/>
      <c r="E782" s="8"/>
      <c r="F782" s="8"/>
      <c r="G782" s="8"/>
      <c r="H782" s="8"/>
      <c r="I782" s="8"/>
      <c r="J782" s="8"/>
    </row>
    <row r="783">
      <c r="C783" s="8"/>
      <c r="D783" s="8"/>
      <c r="E783" s="8"/>
      <c r="F783" s="8"/>
      <c r="G783" s="8"/>
      <c r="H783" s="8"/>
      <c r="I783" s="8"/>
      <c r="J783" s="8"/>
    </row>
    <row r="784">
      <c r="C784" s="8"/>
      <c r="D784" s="8"/>
      <c r="E784" s="8"/>
      <c r="F784" s="8"/>
      <c r="G784" s="8"/>
      <c r="H784" s="8"/>
      <c r="I784" s="8"/>
      <c r="J784" s="8"/>
    </row>
    <row r="785">
      <c r="C785" s="8"/>
      <c r="D785" s="8"/>
      <c r="E785" s="8"/>
      <c r="F785" s="8"/>
      <c r="G785" s="8"/>
      <c r="H785" s="8"/>
      <c r="I785" s="8"/>
      <c r="J785" s="8"/>
    </row>
    <row r="786">
      <c r="C786" s="8"/>
      <c r="D786" s="8"/>
      <c r="E786" s="8"/>
      <c r="F786" s="8"/>
      <c r="G786" s="8"/>
      <c r="H786" s="8"/>
      <c r="I786" s="8"/>
      <c r="J786" s="8"/>
    </row>
    <row r="787">
      <c r="C787" s="8"/>
      <c r="D787" s="8"/>
      <c r="E787" s="8"/>
      <c r="F787" s="8"/>
      <c r="G787" s="8"/>
      <c r="H787" s="8"/>
      <c r="I787" s="8"/>
      <c r="J787" s="8"/>
    </row>
    <row r="788">
      <c r="C788" s="8"/>
      <c r="D788" s="8"/>
      <c r="E788" s="8"/>
      <c r="F788" s="8"/>
      <c r="G788" s="8"/>
      <c r="H788" s="8"/>
      <c r="I788" s="8"/>
      <c r="J788" s="8"/>
    </row>
    <row r="789">
      <c r="C789" s="8"/>
      <c r="D789" s="8"/>
      <c r="E789" s="8"/>
      <c r="F789" s="8"/>
      <c r="G789" s="8"/>
      <c r="H789" s="8"/>
      <c r="I789" s="8"/>
      <c r="J789" s="8"/>
    </row>
    <row r="790">
      <c r="C790" s="8"/>
      <c r="D790" s="8"/>
      <c r="E790" s="8"/>
      <c r="F790" s="8"/>
      <c r="G790" s="8"/>
      <c r="H790" s="8"/>
      <c r="I790" s="8"/>
      <c r="J790" s="8"/>
    </row>
    <row r="791">
      <c r="C791" s="8"/>
      <c r="D791" s="8"/>
      <c r="E791" s="8"/>
      <c r="F791" s="8"/>
      <c r="G791" s="8"/>
      <c r="H791" s="8"/>
      <c r="I791" s="8"/>
      <c r="J791" s="8"/>
    </row>
    <row r="792">
      <c r="C792" s="8"/>
      <c r="D792" s="8"/>
      <c r="E792" s="8"/>
      <c r="F792" s="8"/>
      <c r="G792" s="8"/>
      <c r="H792" s="8"/>
      <c r="I792" s="8"/>
      <c r="J792" s="8"/>
    </row>
    <row r="793">
      <c r="C793" s="8"/>
      <c r="D793" s="8"/>
      <c r="E793" s="8"/>
      <c r="F793" s="8"/>
      <c r="G793" s="8"/>
      <c r="H793" s="8"/>
      <c r="I793" s="8"/>
      <c r="J793" s="8"/>
    </row>
  </sheetData>
  <autoFilter ref="$A$1:$J$1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10.75"/>
    <col customWidth="1" min="5" max="5" width="12.2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>
      <c r="A2" s="1" t="s">
        <v>6</v>
      </c>
      <c r="B2" s="1" t="s">
        <v>7</v>
      </c>
      <c r="C2" s="3" t="s">
        <v>9</v>
      </c>
      <c r="D2" s="3" t="s">
        <v>10</v>
      </c>
      <c r="E2" s="3" t="s">
        <v>11</v>
      </c>
    </row>
    <row r="3">
      <c r="A3" s="1" t="s">
        <v>13</v>
      </c>
      <c r="B3" s="1" t="s">
        <v>14</v>
      </c>
      <c r="C3" s="3" t="s">
        <v>16</v>
      </c>
      <c r="D3" s="3" t="s">
        <v>18</v>
      </c>
      <c r="E3" s="3" t="s">
        <v>11</v>
      </c>
    </row>
    <row r="4">
      <c r="A4" s="1" t="s">
        <v>19</v>
      </c>
      <c r="B4" s="1" t="s">
        <v>20</v>
      </c>
      <c r="C4" s="3" t="s">
        <v>21</v>
      </c>
      <c r="D4" s="3" t="s">
        <v>18</v>
      </c>
      <c r="E4" s="3" t="s">
        <v>11</v>
      </c>
    </row>
    <row r="5">
      <c r="A5" s="1" t="s">
        <v>23</v>
      </c>
      <c r="B5" s="1" t="s">
        <v>24</v>
      </c>
      <c r="C5" s="3" t="s">
        <v>9</v>
      </c>
      <c r="D5" s="3" t="s">
        <v>10</v>
      </c>
      <c r="E5" s="3" t="s">
        <v>11</v>
      </c>
    </row>
    <row r="6">
      <c r="A6" s="1" t="s">
        <v>25</v>
      </c>
      <c r="B6" s="1" t="s">
        <v>26</v>
      </c>
      <c r="C6" s="3" t="s">
        <v>27</v>
      </c>
      <c r="D6" s="3" t="s">
        <v>10</v>
      </c>
      <c r="E6" s="3" t="s">
        <v>11</v>
      </c>
    </row>
    <row r="7">
      <c r="A7" s="1" t="s">
        <v>28</v>
      </c>
      <c r="B7" s="1" t="s">
        <v>29</v>
      </c>
      <c r="C7" s="3" t="s">
        <v>30</v>
      </c>
      <c r="D7" s="3" t="s">
        <v>10</v>
      </c>
      <c r="E7" s="3" t="s">
        <v>11</v>
      </c>
    </row>
    <row r="8">
      <c r="A8" s="1" t="s">
        <v>31</v>
      </c>
      <c r="B8" s="1" t="s">
        <v>33</v>
      </c>
      <c r="C8" s="3" t="s">
        <v>9</v>
      </c>
      <c r="D8" s="3" t="s">
        <v>10</v>
      </c>
      <c r="E8" s="3" t="s">
        <v>11</v>
      </c>
    </row>
    <row r="9">
      <c r="A9" s="1" t="s">
        <v>35</v>
      </c>
      <c r="B9" s="1" t="s">
        <v>36</v>
      </c>
      <c r="C9" s="3" t="s">
        <v>21</v>
      </c>
      <c r="D9" s="3" t="s">
        <v>10</v>
      </c>
      <c r="E9" s="3" t="s">
        <v>38</v>
      </c>
    </row>
    <row r="10">
      <c r="A10" s="1" t="s">
        <v>39</v>
      </c>
      <c r="B10" s="1" t="s">
        <v>40</v>
      </c>
      <c r="C10" s="3" t="s">
        <v>41</v>
      </c>
      <c r="D10" s="3" t="s">
        <v>10</v>
      </c>
      <c r="E10" s="3" t="s">
        <v>11</v>
      </c>
    </row>
    <row r="11">
      <c r="A11" s="1" t="s">
        <v>44</v>
      </c>
      <c r="B11" s="1" t="s">
        <v>45</v>
      </c>
      <c r="C11" s="3" t="s">
        <v>9</v>
      </c>
      <c r="D11" s="3" t="s">
        <v>10</v>
      </c>
      <c r="E11" s="3" t="s">
        <v>11</v>
      </c>
    </row>
    <row r="12">
      <c r="A12" s="1" t="s">
        <v>46</v>
      </c>
      <c r="B12" s="1" t="s">
        <v>47</v>
      </c>
      <c r="C12" s="3" t="s">
        <v>48</v>
      </c>
      <c r="D12" s="3" t="s">
        <v>10</v>
      </c>
      <c r="E12" s="3" t="s">
        <v>11</v>
      </c>
    </row>
    <row r="13">
      <c r="A13" s="1" t="s">
        <v>51</v>
      </c>
      <c r="B13" s="1" t="s">
        <v>52</v>
      </c>
      <c r="C13" s="3" t="s">
        <v>48</v>
      </c>
      <c r="D13" s="3" t="s">
        <v>10</v>
      </c>
      <c r="E13" s="3" t="s">
        <v>11</v>
      </c>
    </row>
    <row r="14">
      <c r="A14" s="1" t="s">
        <v>53</v>
      </c>
      <c r="B14" s="1" t="s">
        <v>54</v>
      </c>
      <c r="C14" s="3" t="s">
        <v>55</v>
      </c>
      <c r="D14" s="3" t="s">
        <v>10</v>
      </c>
      <c r="E14" s="3" t="s">
        <v>11</v>
      </c>
    </row>
    <row r="15">
      <c r="A15" s="1" t="s">
        <v>57</v>
      </c>
      <c r="B15" s="1" t="s">
        <v>58</v>
      </c>
      <c r="C15" s="3" t="s">
        <v>59</v>
      </c>
      <c r="D15" s="3" t="s">
        <v>10</v>
      </c>
      <c r="E15" s="3" t="s">
        <v>11</v>
      </c>
    </row>
    <row r="16">
      <c r="A16" s="1" t="s">
        <v>60</v>
      </c>
      <c r="B16" s="1" t="s">
        <v>62</v>
      </c>
      <c r="C16" s="3" t="s">
        <v>27</v>
      </c>
      <c r="D16" s="3" t="s">
        <v>10</v>
      </c>
      <c r="E16" s="3" t="s">
        <v>11</v>
      </c>
    </row>
    <row r="17">
      <c r="A17" s="1" t="s">
        <v>63</v>
      </c>
      <c r="B17" s="1" t="s">
        <v>64</v>
      </c>
      <c r="C17" s="3" t="s">
        <v>48</v>
      </c>
      <c r="D17" s="3" t="s">
        <v>10</v>
      </c>
      <c r="E17" s="3" t="s">
        <v>11</v>
      </c>
    </row>
    <row r="18">
      <c r="A18" s="1" t="s">
        <v>65</v>
      </c>
      <c r="B18" s="1" t="s">
        <v>66</v>
      </c>
      <c r="C18" s="3" t="s">
        <v>48</v>
      </c>
      <c r="D18" s="3" t="s">
        <v>10</v>
      </c>
      <c r="E18" s="3" t="s">
        <v>11</v>
      </c>
    </row>
    <row r="19">
      <c r="A19" s="1" t="s">
        <v>67</v>
      </c>
      <c r="B19" s="1" t="s">
        <v>68</v>
      </c>
      <c r="C19" s="3" t="s">
        <v>48</v>
      </c>
      <c r="D19" s="3" t="s">
        <v>10</v>
      </c>
      <c r="E19" s="3" t="s">
        <v>11</v>
      </c>
    </row>
    <row r="20">
      <c r="A20" s="1" t="s">
        <v>69</v>
      </c>
      <c r="B20" s="1" t="s">
        <v>70</v>
      </c>
      <c r="C20" s="3" t="s">
        <v>30</v>
      </c>
      <c r="D20" s="3" t="s">
        <v>10</v>
      </c>
      <c r="E20" s="3" t="s">
        <v>11</v>
      </c>
    </row>
    <row r="21">
      <c r="A21" s="1" t="s">
        <v>73</v>
      </c>
      <c r="B21" s="1" t="s">
        <v>74</v>
      </c>
      <c r="C21" s="3" t="s">
        <v>16</v>
      </c>
      <c r="D21" s="3" t="s">
        <v>10</v>
      </c>
      <c r="E21" s="3" t="s">
        <v>11</v>
      </c>
    </row>
    <row r="22">
      <c r="A22" s="1" t="s">
        <v>75</v>
      </c>
      <c r="B22" s="1" t="s">
        <v>76</v>
      </c>
      <c r="C22" s="3" t="s">
        <v>48</v>
      </c>
      <c r="D22" s="3" t="s">
        <v>10</v>
      </c>
      <c r="E22" s="3" t="s">
        <v>11</v>
      </c>
    </row>
    <row r="23">
      <c r="A23" s="1" t="s">
        <v>77</v>
      </c>
      <c r="B23" s="1" t="s">
        <v>78</v>
      </c>
      <c r="C23" s="3" t="s">
        <v>48</v>
      </c>
      <c r="D23" s="3" t="s">
        <v>10</v>
      </c>
      <c r="E23" s="3" t="s">
        <v>11</v>
      </c>
    </row>
    <row r="24">
      <c r="A24" s="1" t="s">
        <v>79</v>
      </c>
      <c r="B24" s="1" t="s">
        <v>81</v>
      </c>
      <c r="C24" s="3" t="s">
        <v>72</v>
      </c>
      <c r="D24" s="3" t="s">
        <v>10</v>
      </c>
      <c r="E24" s="3" t="s">
        <v>11</v>
      </c>
    </row>
    <row r="25">
      <c r="A25" s="1" t="s">
        <v>83</v>
      </c>
      <c r="B25" s="1" t="s">
        <v>84</v>
      </c>
      <c r="C25" s="3" t="s">
        <v>27</v>
      </c>
      <c r="D25" s="3" t="s">
        <v>10</v>
      </c>
      <c r="E25" s="3" t="s">
        <v>11</v>
      </c>
    </row>
    <row r="26">
      <c r="A26" s="1" t="s">
        <v>85</v>
      </c>
      <c r="B26" s="1" t="s">
        <v>86</v>
      </c>
      <c r="C26" s="3" t="s">
        <v>87</v>
      </c>
      <c r="D26" s="3" t="s">
        <v>10</v>
      </c>
      <c r="E26" s="3" t="s">
        <v>11</v>
      </c>
    </row>
    <row r="27">
      <c r="A27" s="1" t="s">
        <v>88</v>
      </c>
      <c r="B27" s="1" t="s">
        <v>89</v>
      </c>
      <c r="C27" s="3" t="s">
        <v>48</v>
      </c>
      <c r="D27" s="3" t="s">
        <v>10</v>
      </c>
      <c r="E27" s="3" t="s">
        <v>38</v>
      </c>
    </row>
    <row r="28">
      <c r="A28" s="1" t="s">
        <v>91</v>
      </c>
      <c r="B28" s="1" t="s">
        <v>93</v>
      </c>
      <c r="C28" s="3" t="s">
        <v>9</v>
      </c>
      <c r="D28" s="3" t="s">
        <v>10</v>
      </c>
      <c r="E28" s="3" t="s">
        <v>11</v>
      </c>
    </row>
    <row r="29">
      <c r="A29" s="1" t="s">
        <v>94</v>
      </c>
      <c r="B29" s="1" t="s">
        <v>95</v>
      </c>
      <c r="C29" s="3" t="s">
        <v>48</v>
      </c>
      <c r="D29" s="3" t="s">
        <v>10</v>
      </c>
      <c r="E29" s="3" t="s">
        <v>11</v>
      </c>
    </row>
    <row r="30">
      <c r="A30" s="1" t="s">
        <v>96</v>
      </c>
      <c r="B30" s="1" t="s">
        <v>97</v>
      </c>
      <c r="C30" s="3" t="s">
        <v>48</v>
      </c>
      <c r="D30" s="3" t="s">
        <v>18</v>
      </c>
      <c r="E30" s="3" t="s">
        <v>11</v>
      </c>
    </row>
    <row r="31">
      <c r="A31" s="1" t="s">
        <v>99</v>
      </c>
      <c r="B31" s="1" t="s">
        <v>101</v>
      </c>
      <c r="C31" s="3" t="s">
        <v>55</v>
      </c>
      <c r="D31" s="3" t="s">
        <v>18</v>
      </c>
      <c r="E31" s="3" t="s">
        <v>38</v>
      </c>
    </row>
    <row r="32">
      <c r="A32" s="1" t="s">
        <v>102</v>
      </c>
      <c r="B32" s="1" t="s">
        <v>103</v>
      </c>
      <c r="C32" s="3" t="s">
        <v>72</v>
      </c>
      <c r="D32" s="3" t="s">
        <v>10</v>
      </c>
      <c r="E32" s="3" t="s">
        <v>11</v>
      </c>
    </row>
    <row r="33">
      <c r="A33" s="1" t="s">
        <v>104</v>
      </c>
      <c r="B33" s="1" t="s">
        <v>105</v>
      </c>
      <c r="C33" s="3" t="s">
        <v>27</v>
      </c>
      <c r="D33" s="3" t="s">
        <v>10</v>
      </c>
      <c r="E33" s="3" t="s">
        <v>11</v>
      </c>
    </row>
    <row r="34">
      <c r="A34" s="1" t="s">
        <v>108</v>
      </c>
      <c r="B34" s="1" t="s">
        <v>109</v>
      </c>
      <c r="C34" s="3" t="s">
        <v>41</v>
      </c>
      <c r="D34" s="3" t="s">
        <v>10</v>
      </c>
      <c r="E34" s="3" t="s">
        <v>11</v>
      </c>
    </row>
    <row r="35">
      <c r="A35" s="1" t="s">
        <v>111</v>
      </c>
      <c r="B35" s="1" t="s">
        <v>112</v>
      </c>
      <c r="C35" s="3" t="s">
        <v>27</v>
      </c>
      <c r="D35" s="3" t="s">
        <v>10</v>
      </c>
      <c r="E35" s="3" t="s">
        <v>11</v>
      </c>
    </row>
    <row r="36">
      <c r="A36" s="1" t="s">
        <v>113</v>
      </c>
      <c r="B36" s="1" t="s">
        <v>114</v>
      </c>
      <c r="C36" s="3" t="s">
        <v>87</v>
      </c>
      <c r="D36" s="3" t="s">
        <v>10</v>
      </c>
      <c r="E36" s="3" t="s">
        <v>11</v>
      </c>
    </row>
    <row r="37">
      <c r="A37" s="1" t="s">
        <v>115</v>
      </c>
      <c r="B37" s="1" t="s">
        <v>117</v>
      </c>
      <c r="C37" s="3" t="s">
        <v>27</v>
      </c>
      <c r="D37" s="3" t="s">
        <v>10</v>
      </c>
      <c r="E37" s="3" t="s">
        <v>11</v>
      </c>
    </row>
    <row r="38">
      <c r="A38" s="1" t="s">
        <v>121</v>
      </c>
      <c r="B38" s="1" t="s">
        <v>122</v>
      </c>
      <c r="C38" s="3" t="s">
        <v>27</v>
      </c>
      <c r="D38" s="3" t="s">
        <v>10</v>
      </c>
      <c r="E38" s="3" t="s">
        <v>11</v>
      </c>
    </row>
    <row r="39">
      <c r="A39" s="1" t="s">
        <v>123</v>
      </c>
      <c r="B39" s="1" t="s">
        <v>124</v>
      </c>
      <c r="C39" s="3" t="s">
        <v>125</v>
      </c>
      <c r="D39" s="3" t="s">
        <v>10</v>
      </c>
      <c r="E39" s="3" t="s">
        <v>11</v>
      </c>
    </row>
    <row r="40">
      <c r="A40" s="1" t="s">
        <v>127</v>
      </c>
      <c r="B40" s="1" t="s">
        <v>129</v>
      </c>
      <c r="C40" s="3" t="s">
        <v>55</v>
      </c>
      <c r="D40" s="3" t="s">
        <v>10</v>
      </c>
      <c r="E40" s="3" t="s">
        <v>11</v>
      </c>
    </row>
    <row r="41">
      <c r="A41" s="1" t="s">
        <v>131</v>
      </c>
      <c r="B41" s="1" t="s">
        <v>133</v>
      </c>
      <c r="C41" s="3" t="s">
        <v>125</v>
      </c>
      <c r="D41" s="3" t="s">
        <v>10</v>
      </c>
      <c r="E41" s="3" t="s">
        <v>11</v>
      </c>
    </row>
    <row r="42">
      <c r="A42" s="1" t="s">
        <v>134</v>
      </c>
      <c r="B42" s="1" t="s">
        <v>135</v>
      </c>
      <c r="C42" s="3" t="s">
        <v>21</v>
      </c>
      <c r="D42" s="3" t="s">
        <v>10</v>
      </c>
      <c r="E42" s="3" t="s">
        <v>11</v>
      </c>
    </row>
    <row r="43">
      <c r="A43" s="1" t="s">
        <v>137</v>
      </c>
      <c r="B43" s="1" t="s">
        <v>139</v>
      </c>
      <c r="C43" s="3" t="s">
        <v>140</v>
      </c>
      <c r="D43" s="3" t="s">
        <v>18</v>
      </c>
      <c r="E43" s="3" t="s">
        <v>11</v>
      </c>
    </row>
    <row r="44">
      <c r="A44" s="1" t="s">
        <v>142</v>
      </c>
      <c r="B44" s="1" t="s">
        <v>144</v>
      </c>
      <c r="C44" s="3" t="s">
        <v>146</v>
      </c>
      <c r="D44" s="3" t="s">
        <v>18</v>
      </c>
      <c r="E44" s="3" t="s">
        <v>11</v>
      </c>
    </row>
    <row r="45">
      <c r="A45" s="1" t="s">
        <v>147</v>
      </c>
      <c r="B45" s="1" t="s">
        <v>149</v>
      </c>
      <c r="C45" s="3" t="s">
        <v>59</v>
      </c>
      <c r="D45" s="3" t="s">
        <v>18</v>
      </c>
      <c r="E45" s="3" t="s">
        <v>11</v>
      </c>
    </row>
    <row r="46">
      <c r="A46" s="1" t="s">
        <v>151</v>
      </c>
      <c r="B46" s="1" t="s">
        <v>152</v>
      </c>
      <c r="C46" s="3" t="s">
        <v>16</v>
      </c>
      <c r="D46" s="3" t="s">
        <v>18</v>
      </c>
      <c r="E46" s="3" t="s">
        <v>11</v>
      </c>
    </row>
    <row r="47">
      <c r="A47" s="1" t="s">
        <v>153</v>
      </c>
      <c r="B47" s="1" t="s">
        <v>154</v>
      </c>
      <c r="C47" s="3" t="s">
        <v>27</v>
      </c>
      <c r="D47" s="3" t="s">
        <v>18</v>
      </c>
      <c r="E47" s="3" t="s">
        <v>11</v>
      </c>
    </row>
    <row r="48">
      <c r="A48" s="1" t="s">
        <v>156</v>
      </c>
      <c r="B48" s="1" t="s">
        <v>159</v>
      </c>
      <c r="C48" s="3" t="s">
        <v>160</v>
      </c>
      <c r="D48" s="3" t="s">
        <v>18</v>
      </c>
      <c r="E48" s="3" t="s">
        <v>11</v>
      </c>
    </row>
    <row r="49">
      <c r="A49" s="1" t="s">
        <v>162</v>
      </c>
      <c r="B49" s="1" t="s">
        <v>163</v>
      </c>
      <c r="C49" s="3" t="s">
        <v>146</v>
      </c>
      <c r="D49" s="3" t="s">
        <v>18</v>
      </c>
      <c r="E49" s="3" t="s">
        <v>11</v>
      </c>
    </row>
    <row r="50">
      <c r="A50" s="1" t="s">
        <v>164</v>
      </c>
      <c r="B50" s="1" t="s">
        <v>165</v>
      </c>
      <c r="C50" s="3" t="s">
        <v>166</v>
      </c>
      <c r="D50" s="3" t="s">
        <v>18</v>
      </c>
      <c r="E50" s="3" t="s">
        <v>38</v>
      </c>
    </row>
    <row r="51">
      <c r="A51" s="1" t="s">
        <v>169</v>
      </c>
      <c r="B51" s="1" t="s">
        <v>170</v>
      </c>
      <c r="C51" s="3" t="s">
        <v>140</v>
      </c>
      <c r="D51" s="3" t="s">
        <v>18</v>
      </c>
      <c r="E51" s="3" t="s">
        <v>11</v>
      </c>
    </row>
    <row r="52">
      <c r="A52" s="1" t="s">
        <v>173</v>
      </c>
      <c r="B52" s="1" t="s">
        <v>174</v>
      </c>
      <c r="C52" s="3" t="s">
        <v>160</v>
      </c>
      <c r="D52" s="3" t="s">
        <v>18</v>
      </c>
      <c r="E52" s="3" t="s">
        <v>11</v>
      </c>
    </row>
    <row r="53">
      <c r="A53" s="1" t="s">
        <v>176</v>
      </c>
      <c r="B53" s="1" t="s">
        <v>177</v>
      </c>
      <c r="C53" s="3" t="s">
        <v>27</v>
      </c>
      <c r="D53" s="3" t="s">
        <v>18</v>
      </c>
      <c r="E53" s="3" t="s">
        <v>11</v>
      </c>
    </row>
    <row r="54">
      <c r="A54" s="1" t="s">
        <v>180</v>
      </c>
      <c r="B54" s="1" t="s">
        <v>181</v>
      </c>
      <c r="C54" s="3" t="s">
        <v>16</v>
      </c>
      <c r="D54" s="3" t="s">
        <v>18</v>
      </c>
      <c r="E54" s="3" t="s">
        <v>11</v>
      </c>
    </row>
    <row r="55">
      <c r="A55" s="1" t="s">
        <v>184</v>
      </c>
      <c r="B55" s="1" t="s">
        <v>185</v>
      </c>
      <c r="C55" s="3" t="s">
        <v>59</v>
      </c>
      <c r="D55" s="3" t="s">
        <v>18</v>
      </c>
      <c r="E55" s="3" t="s">
        <v>11</v>
      </c>
    </row>
    <row r="56">
      <c r="A56" s="1" t="s">
        <v>186</v>
      </c>
      <c r="B56" s="1" t="s">
        <v>187</v>
      </c>
      <c r="C56" s="3" t="s">
        <v>16</v>
      </c>
      <c r="D56" s="3" t="s">
        <v>18</v>
      </c>
      <c r="E56" s="3" t="s">
        <v>11</v>
      </c>
    </row>
    <row r="57">
      <c r="A57" s="1" t="s">
        <v>190</v>
      </c>
      <c r="B57" s="1" t="s">
        <v>192</v>
      </c>
      <c r="C57" s="3" t="s">
        <v>16</v>
      </c>
      <c r="D57" s="3" t="s">
        <v>18</v>
      </c>
      <c r="E57" s="3" t="s">
        <v>11</v>
      </c>
    </row>
    <row r="58">
      <c r="A58" s="1" t="s">
        <v>194</v>
      </c>
      <c r="B58" s="1" t="s">
        <v>195</v>
      </c>
      <c r="C58" s="3" t="s">
        <v>16</v>
      </c>
      <c r="D58" s="3" t="s">
        <v>18</v>
      </c>
      <c r="E58" s="3" t="s">
        <v>11</v>
      </c>
    </row>
    <row r="59">
      <c r="A59" s="1" t="s">
        <v>197</v>
      </c>
      <c r="B59" s="1" t="s">
        <v>199</v>
      </c>
      <c r="C59" s="3" t="s">
        <v>140</v>
      </c>
      <c r="D59" s="3" t="s">
        <v>18</v>
      </c>
      <c r="E59" s="3" t="s">
        <v>11</v>
      </c>
    </row>
    <row r="60">
      <c r="A60" s="1" t="s">
        <v>200</v>
      </c>
      <c r="B60" s="1" t="s">
        <v>201</v>
      </c>
      <c r="C60" s="3" t="s">
        <v>160</v>
      </c>
      <c r="D60" s="3" t="s">
        <v>18</v>
      </c>
      <c r="E60" s="3" t="s">
        <v>11</v>
      </c>
    </row>
    <row r="61">
      <c r="A61" s="1" t="s">
        <v>204</v>
      </c>
      <c r="B61" s="1" t="s">
        <v>206</v>
      </c>
      <c r="C61" s="3" t="s">
        <v>146</v>
      </c>
      <c r="D61" s="3" t="s">
        <v>18</v>
      </c>
      <c r="E61" s="3" t="s">
        <v>11</v>
      </c>
    </row>
    <row r="62">
      <c r="A62" s="1" t="s">
        <v>208</v>
      </c>
      <c r="B62" s="1" t="s">
        <v>209</v>
      </c>
      <c r="C62" s="3" t="s">
        <v>146</v>
      </c>
      <c r="D62" s="3" t="s">
        <v>18</v>
      </c>
      <c r="E62" s="3" t="s">
        <v>11</v>
      </c>
    </row>
    <row r="63">
      <c r="A63" s="1" t="s">
        <v>210</v>
      </c>
      <c r="B63" s="1" t="s">
        <v>211</v>
      </c>
      <c r="C63" s="3" t="s">
        <v>146</v>
      </c>
      <c r="D63" s="3" t="s">
        <v>18</v>
      </c>
      <c r="E63" s="3" t="s">
        <v>11</v>
      </c>
    </row>
    <row r="64">
      <c r="A64" s="1" t="s">
        <v>214</v>
      </c>
      <c r="B64" s="1" t="s">
        <v>216</v>
      </c>
      <c r="C64" s="3" t="s">
        <v>16</v>
      </c>
      <c r="D64" s="3" t="s">
        <v>18</v>
      </c>
      <c r="E64" s="3" t="s">
        <v>11</v>
      </c>
    </row>
    <row r="65">
      <c r="A65" s="1" t="s">
        <v>217</v>
      </c>
      <c r="B65" s="1" t="s">
        <v>218</v>
      </c>
      <c r="C65" s="3" t="s">
        <v>21</v>
      </c>
      <c r="D65" s="3" t="s">
        <v>18</v>
      </c>
      <c r="E65" s="3" t="s">
        <v>11</v>
      </c>
    </row>
    <row r="66">
      <c r="A66" s="1" t="s">
        <v>220</v>
      </c>
      <c r="B66" s="1" t="s">
        <v>222</v>
      </c>
      <c r="C66" s="3" t="s">
        <v>87</v>
      </c>
      <c r="D66" s="3" t="s">
        <v>18</v>
      </c>
      <c r="E66" s="3" t="s">
        <v>11</v>
      </c>
    </row>
    <row r="67">
      <c r="A67" s="1" t="s">
        <v>223</v>
      </c>
      <c r="B67" s="1" t="s">
        <v>224</v>
      </c>
      <c r="C67" s="3" t="s">
        <v>140</v>
      </c>
      <c r="D67" s="3" t="s">
        <v>18</v>
      </c>
      <c r="E67" s="3" t="s">
        <v>11</v>
      </c>
    </row>
    <row r="68">
      <c r="A68" s="1" t="s">
        <v>229</v>
      </c>
      <c r="B68" s="1" t="s">
        <v>230</v>
      </c>
      <c r="C68" s="3" t="s">
        <v>160</v>
      </c>
      <c r="D68" s="3" t="s">
        <v>18</v>
      </c>
      <c r="E68" s="3" t="s">
        <v>11</v>
      </c>
    </row>
    <row r="69">
      <c r="A69" s="1" t="s">
        <v>232</v>
      </c>
      <c r="B69" s="1" t="s">
        <v>233</v>
      </c>
      <c r="C69" s="3" t="s">
        <v>146</v>
      </c>
      <c r="D69" s="3" t="s">
        <v>18</v>
      </c>
      <c r="E69" s="3" t="s">
        <v>11</v>
      </c>
    </row>
    <row r="70">
      <c r="A70" s="1" t="s">
        <v>236</v>
      </c>
      <c r="B70" s="1" t="s">
        <v>239</v>
      </c>
      <c r="C70" s="3" t="s">
        <v>160</v>
      </c>
      <c r="D70" s="3" t="s">
        <v>18</v>
      </c>
      <c r="E70" s="3" t="s">
        <v>11</v>
      </c>
    </row>
    <row r="71">
      <c r="A71" s="1" t="s">
        <v>241</v>
      </c>
      <c r="B71" s="1" t="s">
        <v>242</v>
      </c>
      <c r="C71" s="3" t="s">
        <v>125</v>
      </c>
      <c r="D71" s="3" t="s">
        <v>18</v>
      </c>
      <c r="E71" s="3" t="s">
        <v>38</v>
      </c>
    </row>
    <row r="72">
      <c r="A72" s="1" t="s">
        <v>245</v>
      </c>
      <c r="B72" s="1" t="s">
        <v>246</v>
      </c>
      <c r="C72" s="3" t="s">
        <v>21</v>
      </c>
      <c r="D72" s="3" t="s">
        <v>18</v>
      </c>
      <c r="E72" s="3" t="s">
        <v>11</v>
      </c>
    </row>
    <row r="73">
      <c r="A73" s="1" t="s">
        <v>248</v>
      </c>
      <c r="B73" s="1" t="s">
        <v>249</v>
      </c>
      <c r="C73" s="3" t="s">
        <v>59</v>
      </c>
      <c r="D73" s="3" t="s">
        <v>10</v>
      </c>
      <c r="E73" s="3" t="s">
        <v>11</v>
      </c>
    </row>
    <row r="74">
      <c r="A74" s="1" t="s">
        <v>251</v>
      </c>
      <c r="B74" s="1" t="s">
        <v>253</v>
      </c>
      <c r="C74" s="3" t="s">
        <v>254</v>
      </c>
      <c r="D74" s="3" t="s">
        <v>18</v>
      </c>
      <c r="E74" s="3" t="s">
        <v>38</v>
      </c>
    </row>
    <row r="75">
      <c r="A75" s="1" t="s">
        <v>255</v>
      </c>
      <c r="B75" s="1" t="s">
        <v>256</v>
      </c>
      <c r="C75" s="3" t="s">
        <v>59</v>
      </c>
      <c r="D75" s="3" t="s">
        <v>18</v>
      </c>
      <c r="E75" s="3" t="s">
        <v>11</v>
      </c>
    </row>
    <row r="76">
      <c r="A76" s="1" t="s">
        <v>257</v>
      </c>
      <c r="B76" s="1" t="s">
        <v>258</v>
      </c>
      <c r="C76" s="3" t="s">
        <v>87</v>
      </c>
      <c r="D76" s="3" t="s">
        <v>18</v>
      </c>
      <c r="E76" s="3" t="s">
        <v>11</v>
      </c>
    </row>
    <row r="77">
      <c r="A77" s="1" t="s">
        <v>262</v>
      </c>
      <c r="B77" s="1" t="s">
        <v>263</v>
      </c>
      <c r="C77" s="3" t="s">
        <v>21</v>
      </c>
      <c r="D77" s="3" t="s">
        <v>18</v>
      </c>
      <c r="E77" s="3" t="s">
        <v>11</v>
      </c>
    </row>
    <row r="78">
      <c r="A78" s="1" t="s">
        <v>264</v>
      </c>
      <c r="B78" s="1" t="s">
        <v>265</v>
      </c>
      <c r="C78" s="3" t="s">
        <v>254</v>
      </c>
      <c r="D78" s="3" t="s">
        <v>18</v>
      </c>
      <c r="E78" s="3" t="s">
        <v>38</v>
      </c>
    </row>
    <row r="79">
      <c r="A79" s="1" t="s">
        <v>266</v>
      </c>
      <c r="B79" s="1" t="s">
        <v>268</v>
      </c>
      <c r="C79" s="3" t="s">
        <v>125</v>
      </c>
      <c r="D79" s="3" t="s">
        <v>18</v>
      </c>
      <c r="E79" s="3" t="s">
        <v>38</v>
      </c>
    </row>
    <row r="80">
      <c r="A80" s="1" t="s">
        <v>270</v>
      </c>
      <c r="B80" s="1" t="s">
        <v>272</v>
      </c>
      <c r="C80" s="3" t="s">
        <v>55</v>
      </c>
      <c r="D80" s="3" t="s">
        <v>18</v>
      </c>
      <c r="E80" s="3" t="s">
        <v>11</v>
      </c>
    </row>
    <row r="81">
      <c r="A81" s="1" t="s">
        <v>273</v>
      </c>
      <c r="B81" s="1" t="s">
        <v>274</v>
      </c>
      <c r="C81" s="3" t="s">
        <v>16</v>
      </c>
      <c r="D81" s="3" t="s">
        <v>18</v>
      </c>
      <c r="E81" s="3" t="s">
        <v>11</v>
      </c>
    </row>
    <row r="82">
      <c r="A82" s="1" t="s">
        <v>277</v>
      </c>
      <c r="B82" s="1" t="s">
        <v>278</v>
      </c>
      <c r="C82" s="3" t="s">
        <v>55</v>
      </c>
      <c r="D82" s="3" t="s">
        <v>18</v>
      </c>
      <c r="E82" s="3" t="s">
        <v>11</v>
      </c>
    </row>
    <row r="83">
      <c r="A83" s="1" t="s">
        <v>279</v>
      </c>
      <c r="B83" s="1" t="s">
        <v>280</v>
      </c>
      <c r="C83" s="3" t="s">
        <v>21</v>
      </c>
      <c r="D83" s="3" t="s">
        <v>18</v>
      </c>
      <c r="E83" s="3" t="s">
        <v>11</v>
      </c>
    </row>
    <row r="84">
      <c r="A84" s="1" t="s">
        <v>283</v>
      </c>
      <c r="B84" s="1" t="s">
        <v>285</v>
      </c>
      <c r="C84" s="3" t="s">
        <v>16</v>
      </c>
      <c r="D84" s="3" t="s">
        <v>18</v>
      </c>
      <c r="E84" s="3" t="s">
        <v>11</v>
      </c>
    </row>
    <row r="85">
      <c r="A85" s="1" t="s">
        <v>287</v>
      </c>
      <c r="B85" s="1" t="s">
        <v>288</v>
      </c>
      <c r="C85" s="3" t="s">
        <v>27</v>
      </c>
      <c r="D85" s="3" t="s">
        <v>18</v>
      </c>
      <c r="E85" s="3" t="s">
        <v>11</v>
      </c>
    </row>
    <row r="86">
      <c r="A86" s="1" t="s">
        <v>289</v>
      </c>
      <c r="B86" s="1" t="s">
        <v>290</v>
      </c>
      <c r="C86" s="3" t="s">
        <v>27</v>
      </c>
      <c r="D86" s="3" t="s">
        <v>18</v>
      </c>
      <c r="E86" s="3" t="s">
        <v>11</v>
      </c>
    </row>
    <row r="87">
      <c r="A87" s="1" t="s">
        <v>292</v>
      </c>
      <c r="B87" s="1" t="s">
        <v>294</v>
      </c>
      <c r="C87" s="3" t="s">
        <v>9</v>
      </c>
      <c r="D87" s="3" t="s">
        <v>18</v>
      </c>
      <c r="E87" s="3" t="s">
        <v>11</v>
      </c>
    </row>
    <row r="88">
      <c r="A88" s="1" t="s">
        <v>296</v>
      </c>
      <c r="B88" s="1" t="s">
        <v>297</v>
      </c>
      <c r="C88" s="3" t="s">
        <v>9</v>
      </c>
      <c r="D88" s="3" t="s">
        <v>18</v>
      </c>
      <c r="E88" s="3" t="s">
        <v>11</v>
      </c>
    </row>
    <row r="89">
      <c r="A89" s="1" t="s">
        <v>298</v>
      </c>
      <c r="B89" s="1" t="s">
        <v>299</v>
      </c>
      <c r="C89" s="3" t="s">
        <v>9</v>
      </c>
      <c r="D89" s="3" t="s">
        <v>18</v>
      </c>
      <c r="E89" s="3" t="s">
        <v>11</v>
      </c>
    </row>
    <row r="90">
      <c r="A90" s="1" t="s">
        <v>302</v>
      </c>
      <c r="B90" s="1" t="s">
        <v>304</v>
      </c>
      <c r="C90" s="3" t="s">
        <v>9</v>
      </c>
      <c r="D90" s="3" t="s">
        <v>18</v>
      </c>
      <c r="E90" s="3" t="s">
        <v>11</v>
      </c>
    </row>
    <row r="91">
      <c r="A91" s="1" t="s">
        <v>306</v>
      </c>
      <c r="B91" s="1" t="s">
        <v>308</v>
      </c>
      <c r="C91" s="3" t="s">
        <v>55</v>
      </c>
      <c r="D91" s="3" t="s">
        <v>18</v>
      </c>
      <c r="E91" s="3" t="s">
        <v>11</v>
      </c>
    </row>
    <row r="92">
      <c r="A92" s="1" t="s">
        <v>310</v>
      </c>
      <c r="B92" s="1" t="s">
        <v>312</v>
      </c>
      <c r="C92" s="3" t="s">
        <v>48</v>
      </c>
      <c r="D92" s="3" t="s">
        <v>18</v>
      </c>
      <c r="E92" s="3" t="s">
        <v>11</v>
      </c>
    </row>
    <row r="93">
      <c r="A93" s="1" t="s">
        <v>314</v>
      </c>
      <c r="B93" s="1" t="s">
        <v>315</v>
      </c>
      <c r="C93" s="3" t="s">
        <v>9</v>
      </c>
      <c r="D93" s="3" t="s">
        <v>18</v>
      </c>
      <c r="E93" s="3" t="s">
        <v>11</v>
      </c>
    </row>
    <row r="94">
      <c r="A94" s="1" t="s">
        <v>316</v>
      </c>
      <c r="B94" s="1" t="s">
        <v>317</v>
      </c>
      <c r="C94" s="3" t="s">
        <v>318</v>
      </c>
      <c r="D94" s="3" t="s">
        <v>10</v>
      </c>
      <c r="E94" s="3" t="s">
        <v>11</v>
      </c>
    </row>
    <row r="95">
      <c r="A95" s="1" t="s">
        <v>324</v>
      </c>
      <c r="B95" s="1" t="s">
        <v>325</v>
      </c>
      <c r="C95" s="3" t="s">
        <v>326</v>
      </c>
      <c r="D95" s="3" t="s">
        <v>10</v>
      </c>
      <c r="E95" s="3" t="s">
        <v>11</v>
      </c>
    </row>
    <row r="96">
      <c r="A96" s="1" t="s">
        <v>327</v>
      </c>
      <c r="B96" s="1" t="s">
        <v>328</v>
      </c>
      <c r="C96" s="3" t="s">
        <v>329</v>
      </c>
      <c r="D96" s="3" t="s">
        <v>10</v>
      </c>
      <c r="E96" s="3" t="s">
        <v>11</v>
      </c>
    </row>
    <row r="97">
      <c r="A97" s="1" t="s">
        <v>332</v>
      </c>
      <c r="B97" s="1" t="s">
        <v>334</v>
      </c>
      <c r="C97" s="3" t="s">
        <v>329</v>
      </c>
      <c r="D97" s="3" t="s">
        <v>10</v>
      </c>
      <c r="E97" s="3" t="s">
        <v>11</v>
      </c>
    </row>
    <row r="98">
      <c r="A98" s="1" t="s">
        <v>337</v>
      </c>
      <c r="B98" s="1" t="s">
        <v>339</v>
      </c>
      <c r="C98" s="3" t="s">
        <v>326</v>
      </c>
      <c r="D98" s="3" t="s">
        <v>10</v>
      </c>
      <c r="E98" s="3" t="s">
        <v>11</v>
      </c>
    </row>
    <row r="99">
      <c r="A99" s="1" t="s">
        <v>342</v>
      </c>
      <c r="B99" s="1" t="s">
        <v>343</v>
      </c>
      <c r="C99" s="3" t="s">
        <v>329</v>
      </c>
      <c r="D99" s="3" t="s">
        <v>10</v>
      </c>
      <c r="E99" s="3" t="s">
        <v>11</v>
      </c>
    </row>
    <row r="100">
      <c r="A100" s="1" t="s">
        <v>344</v>
      </c>
      <c r="B100" s="1" t="s">
        <v>345</v>
      </c>
      <c r="C100" s="3" t="s">
        <v>347</v>
      </c>
      <c r="D100" s="3" t="s">
        <v>10</v>
      </c>
      <c r="E100" s="3" t="s">
        <v>11</v>
      </c>
    </row>
    <row r="101">
      <c r="A101" s="1" t="s">
        <v>351</v>
      </c>
      <c r="B101" s="1" t="s">
        <v>353</v>
      </c>
      <c r="C101" s="3" t="s">
        <v>354</v>
      </c>
      <c r="D101" s="3" t="s">
        <v>10</v>
      </c>
      <c r="E101" s="3" t="s">
        <v>11</v>
      </c>
    </row>
    <row r="102">
      <c r="A102" s="1" t="s">
        <v>355</v>
      </c>
      <c r="B102" s="1" t="s">
        <v>356</v>
      </c>
      <c r="C102" s="3" t="s">
        <v>329</v>
      </c>
      <c r="D102" s="3" t="s">
        <v>10</v>
      </c>
      <c r="E102" s="3" t="s">
        <v>11</v>
      </c>
    </row>
    <row r="103">
      <c r="A103" s="1" t="s">
        <v>357</v>
      </c>
      <c r="B103" s="1" t="s">
        <v>358</v>
      </c>
      <c r="C103" s="3" t="s">
        <v>359</v>
      </c>
      <c r="D103" s="3" t="s">
        <v>10</v>
      </c>
      <c r="E103" s="3" t="s">
        <v>11</v>
      </c>
    </row>
    <row r="104">
      <c r="A104" s="1" t="s">
        <v>364</v>
      </c>
      <c r="B104" s="1" t="s">
        <v>365</v>
      </c>
      <c r="C104" s="3" t="s">
        <v>366</v>
      </c>
      <c r="D104" s="3" t="s">
        <v>10</v>
      </c>
      <c r="E104" s="3" t="s">
        <v>11</v>
      </c>
    </row>
    <row r="105">
      <c r="A105" s="1" t="s">
        <v>368</v>
      </c>
      <c r="B105" s="1" t="s">
        <v>369</v>
      </c>
      <c r="C105" s="3" t="s">
        <v>370</v>
      </c>
      <c r="D105" s="3" t="s">
        <v>10</v>
      </c>
      <c r="E105" s="3" t="s">
        <v>11</v>
      </c>
    </row>
    <row r="106">
      <c r="A106" s="1" t="s">
        <v>371</v>
      </c>
      <c r="B106" s="1" t="s">
        <v>372</v>
      </c>
      <c r="C106" s="3" t="s">
        <v>373</v>
      </c>
      <c r="D106" s="3" t="s">
        <v>10</v>
      </c>
      <c r="E106" s="3" t="s">
        <v>11</v>
      </c>
    </row>
    <row r="107">
      <c r="A107" s="1" t="s">
        <v>374</v>
      </c>
      <c r="B107" s="1" t="s">
        <v>376</v>
      </c>
      <c r="C107" s="3" t="s">
        <v>326</v>
      </c>
      <c r="D107" s="3" t="s">
        <v>10</v>
      </c>
      <c r="E107" s="3" t="s">
        <v>11</v>
      </c>
    </row>
    <row r="108">
      <c r="A108" s="1" t="s">
        <v>378</v>
      </c>
      <c r="B108" s="1" t="s">
        <v>379</v>
      </c>
      <c r="C108" s="3" t="s">
        <v>380</v>
      </c>
      <c r="D108" s="3" t="s">
        <v>10</v>
      </c>
      <c r="E108" s="3" t="s">
        <v>11</v>
      </c>
    </row>
    <row r="109">
      <c r="A109" s="1" t="s">
        <v>381</v>
      </c>
      <c r="B109" s="1" t="s">
        <v>382</v>
      </c>
      <c r="C109" s="3" t="s">
        <v>326</v>
      </c>
      <c r="D109" s="3" t="s">
        <v>10</v>
      </c>
      <c r="E109" s="3" t="s">
        <v>11</v>
      </c>
    </row>
    <row r="110">
      <c r="A110" s="1" t="s">
        <v>383</v>
      </c>
      <c r="B110" s="1" t="s">
        <v>384</v>
      </c>
      <c r="C110" s="3" t="s">
        <v>347</v>
      </c>
      <c r="D110" s="3" t="s">
        <v>10</v>
      </c>
      <c r="E110" s="3" t="s">
        <v>11</v>
      </c>
    </row>
    <row r="111">
      <c r="A111" s="1" t="s">
        <v>386</v>
      </c>
      <c r="B111" s="1" t="s">
        <v>387</v>
      </c>
      <c r="C111" s="3" t="s">
        <v>329</v>
      </c>
      <c r="D111" s="3" t="s">
        <v>10</v>
      </c>
      <c r="E111" s="3" t="s">
        <v>11</v>
      </c>
    </row>
    <row r="112">
      <c r="A112" s="1" t="s">
        <v>388</v>
      </c>
      <c r="B112" s="1" t="s">
        <v>389</v>
      </c>
      <c r="C112" s="3" t="s">
        <v>390</v>
      </c>
      <c r="D112" s="3" t="s">
        <v>10</v>
      </c>
      <c r="E112" s="3" t="s">
        <v>11</v>
      </c>
    </row>
    <row r="113">
      <c r="A113" s="1" t="s">
        <v>391</v>
      </c>
      <c r="B113" s="1" t="s">
        <v>392</v>
      </c>
      <c r="C113" s="3" t="s">
        <v>329</v>
      </c>
      <c r="D113" s="3" t="s">
        <v>10</v>
      </c>
      <c r="E113" s="3" t="s">
        <v>11</v>
      </c>
    </row>
    <row r="114">
      <c r="A114" s="1" t="s">
        <v>393</v>
      </c>
      <c r="B114" s="1" t="s">
        <v>394</v>
      </c>
      <c r="C114" s="3" t="s">
        <v>396</v>
      </c>
      <c r="D114" s="3" t="s">
        <v>10</v>
      </c>
      <c r="E114" s="3" t="s">
        <v>11</v>
      </c>
    </row>
    <row r="115">
      <c r="A115" s="1" t="s">
        <v>398</v>
      </c>
      <c r="B115" s="1" t="s">
        <v>399</v>
      </c>
      <c r="C115" s="3" t="s">
        <v>373</v>
      </c>
      <c r="D115" s="3" t="s">
        <v>10</v>
      </c>
      <c r="E115" s="3" t="s">
        <v>11</v>
      </c>
    </row>
    <row r="116">
      <c r="A116" s="1" t="s">
        <v>400</v>
      </c>
      <c r="B116" s="1" t="s">
        <v>401</v>
      </c>
      <c r="C116" s="3" t="s">
        <v>329</v>
      </c>
      <c r="D116" s="3" t="s">
        <v>10</v>
      </c>
      <c r="E116" s="3" t="s">
        <v>11</v>
      </c>
    </row>
    <row r="117">
      <c r="A117" s="1" t="s">
        <v>402</v>
      </c>
      <c r="B117" s="1" t="s">
        <v>403</v>
      </c>
      <c r="C117" s="3" t="s">
        <v>347</v>
      </c>
      <c r="D117" s="3" t="s">
        <v>10</v>
      </c>
      <c r="E117" s="3" t="s">
        <v>11</v>
      </c>
    </row>
    <row r="118">
      <c r="A118" s="1" t="s">
        <v>404</v>
      </c>
      <c r="B118" s="1" t="s">
        <v>405</v>
      </c>
      <c r="C118" s="3" t="s">
        <v>329</v>
      </c>
      <c r="D118" s="3" t="s">
        <v>10</v>
      </c>
      <c r="E118" s="3" t="s">
        <v>11</v>
      </c>
    </row>
    <row r="119">
      <c r="A119" s="1" t="s">
        <v>407</v>
      </c>
      <c r="B119" s="1" t="s">
        <v>408</v>
      </c>
      <c r="C119" s="3" t="s">
        <v>354</v>
      </c>
      <c r="D119" s="3" t="s">
        <v>10</v>
      </c>
      <c r="E119" s="3" t="s">
        <v>11</v>
      </c>
    </row>
    <row r="120">
      <c r="A120" s="1" t="s">
        <v>409</v>
      </c>
      <c r="B120" s="1" t="s">
        <v>410</v>
      </c>
      <c r="C120" s="3" t="s">
        <v>411</v>
      </c>
      <c r="D120" s="3" t="s">
        <v>10</v>
      </c>
      <c r="E120" s="3" t="s">
        <v>11</v>
      </c>
    </row>
    <row r="121">
      <c r="A121" s="1" t="s">
        <v>412</v>
      </c>
      <c r="B121" s="1" t="s">
        <v>413</v>
      </c>
      <c r="C121" s="3" t="s">
        <v>411</v>
      </c>
      <c r="D121" s="3" t="s">
        <v>10</v>
      </c>
      <c r="E121" s="3" t="s">
        <v>11</v>
      </c>
    </row>
    <row r="122">
      <c r="A122" s="1" t="s">
        <v>415</v>
      </c>
      <c r="B122" s="1" t="s">
        <v>416</v>
      </c>
      <c r="C122" s="3" t="s">
        <v>417</v>
      </c>
      <c r="D122" s="3" t="s">
        <v>10</v>
      </c>
      <c r="E122" s="3" t="s">
        <v>11</v>
      </c>
    </row>
    <row r="123">
      <c r="A123" s="1" t="s">
        <v>418</v>
      </c>
      <c r="B123" s="1" t="s">
        <v>419</v>
      </c>
      <c r="C123" s="3" t="s">
        <v>396</v>
      </c>
      <c r="D123" s="3" t="s">
        <v>18</v>
      </c>
      <c r="E123" s="3" t="s">
        <v>11</v>
      </c>
    </row>
    <row r="124">
      <c r="A124" s="1" t="s">
        <v>420</v>
      </c>
      <c r="B124" s="1" t="s">
        <v>421</v>
      </c>
      <c r="C124" s="3" t="s">
        <v>347</v>
      </c>
      <c r="D124" s="3" t="s">
        <v>18</v>
      </c>
      <c r="E124" s="3" t="s">
        <v>11</v>
      </c>
    </row>
    <row r="125">
      <c r="A125" s="1" t="s">
        <v>422</v>
      </c>
      <c r="B125" s="1" t="s">
        <v>423</v>
      </c>
      <c r="C125" s="3" t="s">
        <v>329</v>
      </c>
      <c r="D125" s="3" t="s">
        <v>18</v>
      </c>
      <c r="E125" s="3" t="s">
        <v>11</v>
      </c>
    </row>
    <row r="126">
      <c r="A126" s="1" t="s">
        <v>425</v>
      </c>
      <c r="B126" s="1" t="s">
        <v>426</v>
      </c>
      <c r="C126" s="3" t="s">
        <v>370</v>
      </c>
      <c r="D126" s="3" t="s">
        <v>18</v>
      </c>
      <c r="E126" s="3" t="s">
        <v>11</v>
      </c>
    </row>
    <row r="127">
      <c r="A127" s="1" t="s">
        <v>427</v>
      </c>
      <c r="B127" s="1" t="s">
        <v>428</v>
      </c>
      <c r="C127" s="3" t="s">
        <v>429</v>
      </c>
      <c r="D127" s="3" t="s">
        <v>18</v>
      </c>
      <c r="E127" s="3" t="s">
        <v>11</v>
      </c>
    </row>
    <row r="128">
      <c r="A128" s="1" t="s">
        <v>430</v>
      </c>
      <c r="B128" s="1" t="s">
        <v>431</v>
      </c>
      <c r="C128" s="3" t="s">
        <v>366</v>
      </c>
      <c r="D128" s="3" t="s">
        <v>18</v>
      </c>
      <c r="E128" s="3" t="s">
        <v>11</v>
      </c>
    </row>
    <row r="129">
      <c r="A129" s="1" t="s">
        <v>432</v>
      </c>
      <c r="B129" s="1" t="s">
        <v>433</v>
      </c>
      <c r="C129" s="3" t="s">
        <v>347</v>
      </c>
      <c r="D129" s="3" t="s">
        <v>18</v>
      </c>
      <c r="E129" s="3" t="s">
        <v>11</v>
      </c>
    </row>
    <row r="130">
      <c r="A130" s="1" t="s">
        <v>436</v>
      </c>
      <c r="B130" s="1" t="s">
        <v>437</v>
      </c>
      <c r="C130" s="3" t="s">
        <v>380</v>
      </c>
      <c r="D130" s="3" t="s">
        <v>18</v>
      </c>
      <c r="E130" s="3" t="s">
        <v>11</v>
      </c>
    </row>
    <row r="131">
      <c r="A131" s="1" t="s">
        <v>438</v>
      </c>
      <c r="B131" s="1" t="s">
        <v>439</v>
      </c>
      <c r="C131" s="3" t="s">
        <v>329</v>
      </c>
      <c r="D131" s="3" t="s">
        <v>18</v>
      </c>
      <c r="E131" s="3" t="s">
        <v>11</v>
      </c>
    </row>
    <row r="132">
      <c r="A132" s="1" t="s">
        <v>440</v>
      </c>
      <c r="B132" s="1" t="s">
        <v>441</v>
      </c>
      <c r="C132" s="3" t="s">
        <v>329</v>
      </c>
      <c r="D132" s="3" t="s">
        <v>18</v>
      </c>
      <c r="E132" s="3" t="s">
        <v>11</v>
      </c>
    </row>
    <row r="133">
      <c r="A133" s="1" t="s">
        <v>442</v>
      </c>
      <c r="B133" s="1" t="s">
        <v>444</v>
      </c>
      <c r="C133" s="3" t="s">
        <v>329</v>
      </c>
      <c r="D133" s="3" t="s">
        <v>18</v>
      </c>
      <c r="E133" s="3" t="s">
        <v>11</v>
      </c>
    </row>
    <row r="134">
      <c r="A134" s="1" t="s">
        <v>445</v>
      </c>
      <c r="B134" s="1" t="s">
        <v>446</v>
      </c>
      <c r="C134" s="3" t="s">
        <v>326</v>
      </c>
      <c r="D134" s="3" t="s">
        <v>18</v>
      </c>
      <c r="E134" s="3" t="s">
        <v>11</v>
      </c>
    </row>
    <row r="135">
      <c r="A135" s="1" t="s">
        <v>447</v>
      </c>
      <c r="B135" s="1" t="s">
        <v>448</v>
      </c>
      <c r="C135" s="3" t="s">
        <v>429</v>
      </c>
      <c r="D135" s="3" t="s">
        <v>18</v>
      </c>
      <c r="E135" s="3" t="s">
        <v>11</v>
      </c>
    </row>
    <row r="136">
      <c r="A136" s="1" t="s">
        <v>449</v>
      </c>
      <c r="B136" s="1" t="s">
        <v>450</v>
      </c>
      <c r="C136" s="3" t="s">
        <v>329</v>
      </c>
      <c r="D136" s="3" t="s">
        <v>18</v>
      </c>
      <c r="E136" s="3" t="s">
        <v>11</v>
      </c>
    </row>
    <row r="137">
      <c r="A137" s="1" t="s">
        <v>452</v>
      </c>
      <c r="B137" s="1" t="s">
        <v>453</v>
      </c>
      <c r="C137" s="3" t="s">
        <v>359</v>
      </c>
      <c r="D137" s="3" t="s">
        <v>18</v>
      </c>
      <c r="E137" s="3" t="s">
        <v>11</v>
      </c>
    </row>
    <row r="138">
      <c r="A138" s="1" t="s">
        <v>454</v>
      </c>
      <c r="B138" s="1" t="s">
        <v>455</v>
      </c>
      <c r="C138" s="3" t="s">
        <v>329</v>
      </c>
      <c r="D138" s="3" t="s">
        <v>10</v>
      </c>
      <c r="E138" s="3" t="s">
        <v>11</v>
      </c>
    </row>
    <row r="139">
      <c r="A139" s="1" t="s">
        <v>456</v>
      </c>
      <c r="B139" s="1" t="s">
        <v>457</v>
      </c>
      <c r="C139" s="3" t="s">
        <v>458</v>
      </c>
      <c r="D139" s="3" t="s">
        <v>18</v>
      </c>
      <c r="E139" s="3" t="s">
        <v>11</v>
      </c>
    </row>
    <row r="140">
      <c r="A140" s="1" t="s">
        <v>234</v>
      </c>
      <c r="B140" s="1" t="s">
        <v>235</v>
      </c>
      <c r="C140" s="3" t="s">
        <v>9</v>
      </c>
      <c r="D140" s="3" t="s">
        <v>18</v>
      </c>
      <c r="E140" s="3" t="s">
        <v>11</v>
      </c>
    </row>
    <row r="141">
      <c r="A141" s="1" t="s">
        <v>243</v>
      </c>
      <c r="B141" s="1" t="s">
        <v>244</v>
      </c>
      <c r="C141" s="3" t="s">
        <v>9</v>
      </c>
      <c r="D141" s="3" t="s">
        <v>18</v>
      </c>
      <c r="E141" s="3" t="s">
        <v>38</v>
      </c>
    </row>
    <row r="142">
      <c r="A142" s="1" t="s">
        <v>250</v>
      </c>
      <c r="B142" s="1" t="s">
        <v>252</v>
      </c>
      <c r="C142" s="3" t="s">
        <v>9</v>
      </c>
      <c r="D142" s="3" t="s">
        <v>18</v>
      </c>
      <c r="E142" s="3" t="s">
        <v>11</v>
      </c>
    </row>
    <row r="143">
      <c r="A143" s="1" t="s">
        <v>462</v>
      </c>
      <c r="B143" s="1" t="s">
        <v>463</v>
      </c>
      <c r="C143" s="3" t="s">
        <v>9</v>
      </c>
      <c r="D143" s="3" t="s">
        <v>10</v>
      </c>
      <c r="E143" s="3" t="s">
        <v>38</v>
      </c>
    </row>
    <row r="144">
      <c r="A144" s="1" t="s">
        <v>22</v>
      </c>
      <c r="B144" s="1" t="s">
        <v>32</v>
      </c>
      <c r="C144" s="3" t="s">
        <v>9</v>
      </c>
      <c r="D144" s="3" t="s">
        <v>10</v>
      </c>
      <c r="E144" s="3" t="s">
        <v>11</v>
      </c>
    </row>
    <row r="145">
      <c r="A145" s="1" t="s">
        <v>106</v>
      </c>
      <c r="B145" s="1" t="s">
        <v>107</v>
      </c>
      <c r="C145" s="3" t="s">
        <v>9</v>
      </c>
      <c r="D145" s="3" t="s">
        <v>10</v>
      </c>
      <c r="E145" s="3" t="s">
        <v>38</v>
      </c>
    </row>
    <row r="146">
      <c r="A146" s="1" t="s">
        <v>116</v>
      </c>
      <c r="B146" s="1" t="s">
        <v>118</v>
      </c>
      <c r="C146" s="3" t="s">
        <v>9</v>
      </c>
      <c r="D146" s="3" t="s">
        <v>10</v>
      </c>
      <c r="E146" s="3" t="s">
        <v>38</v>
      </c>
    </row>
    <row r="147">
      <c r="A147" s="1" t="s">
        <v>465</v>
      </c>
      <c r="B147" s="1" t="s">
        <v>466</v>
      </c>
      <c r="C147" s="3" t="s">
        <v>9</v>
      </c>
      <c r="D147" s="3" t="s">
        <v>18</v>
      </c>
      <c r="E147" s="3" t="s">
        <v>38</v>
      </c>
    </row>
    <row r="148">
      <c r="A148" s="1" t="s">
        <v>468</v>
      </c>
      <c r="B148" s="1" t="s">
        <v>469</v>
      </c>
      <c r="C148" s="3" t="s">
        <v>9</v>
      </c>
      <c r="D148" s="3" t="s">
        <v>18</v>
      </c>
      <c r="E148" s="3" t="s">
        <v>38</v>
      </c>
    </row>
    <row r="149">
      <c r="A149" s="1" t="s">
        <v>126</v>
      </c>
      <c r="B149" s="1" t="s">
        <v>128</v>
      </c>
      <c r="C149" s="3" t="s">
        <v>9</v>
      </c>
      <c r="D149" s="3" t="s">
        <v>10</v>
      </c>
      <c r="E149" s="3" t="s">
        <v>11</v>
      </c>
    </row>
    <row r="150">
      <c r="A150" s="1" t="s">
        <v>470</v>
      </c>
      <c r="B150" s="1" t="s">
        <v>471</v>
      </c>
      <c r="C150" s="3" t="s">
        <v>9</v>
      </c>
      <c r="D150" s="3" t="s">
        <v>10</v>
      </c>
      <c r="E150" s="3" t="s">
        <v>38</v>
      </c>
    </row>
    <row r="151">
      <c r="A151" s="1" t="s">
        <v>259</v>
      </c>
      <c r="B151" s="1" t="s">
        <v>261</v>
      </c>
      <c r="C151" s="3" t="s">
        <v>9</v>
      </c>
      <c r="D151" s="3" t="s">
        <v>18</v>
      </c>
      <c r="E151" s="3" t="s">
        <v>11</v>
      </c>
    </row>
    <row r="152">
      <c r="A152" s="1" t="s">
        <v>473</v>
      </c>
      <c r="B152" s="1" t="s">
        <v>474</v>
      </c>
      <c r="C152" s="3" t="s">
        <v>9</v>
      </c>
      <c r="D152" s="3" t="s">
        <v>18</v>
      </c>
      <c r="E152" s="3" t="s">
        <v>11</v>
      </c>
    </row>
    <row r="153">
      <c r="A153" s="1" t="s">
        <v>136</v>
      </c>
      <c r="B153" s="1" t="s">
        <v>138</v>
      </c>
      <c r="C153" s="3" t="s">
        <v>9</v>
      </c>
      <c r="D153" s="3" t="s">
        <v>10</v>
      </c>
      <c r="E153" s="3" t="s">
        <v>11</v>
      </c>
    </row>
    <row r="154">
      <c r="A154" s="1" t="s">
        <v>148</v>
      </c>
      <c r="B154" s="1" t="s">
        <v>150</v>
      </c>
      <c r="C154" s="3" t="s">
        <v>9</v>
      </c>
      <c r="D154" s="3" t="s">
        <v>10</v>
      </c>
      <c r="E154" s="3" t="s">
        <v>38</v>
      </c>
    </row>
    <row r="155">
      <c r="A155" s="1" t="s">
        <v>267</v>
      </c>
      <c r="B155" s="1" t="s">
        <v>269</v>
      </c>
      <c r="C155" s="3" t="s">
        <v>9</v>
      </c>
      <c r="D155" s="3" t="s">
        <v>18</v>
      </c>
      <c r="E155" s="3" t="s">
        <v>11</v>
      </c>
    </row>
    <row r="156">
      <c r="A156" s="1" t="s">
        <v>155</v>
      </c>
      <c r="B156" s="1" t="s">
        <v>157</v>
      </c>
      <c r="C156" s="3" t="s">
        <v>9</v>
      </c>
      <c r="D156" s="3" t="s">
        <v>10</v>
      </c>
      <c r="E156" s="3" t="s">
        <v>11</v>
      </c>
    </row>
    <row r="157">
      <c r="A157" s="1" t="s">
        <v>477</v>
      </c>
      <c r="B157" s="1" t="s">
        <v>478</v>
      </c>
      <c r="C157" s="3" t="s">
        <v>9</v>
      </c>
      <c r="D157" s="3" t="s">
        <v>18</v>
      </c>
      <c r="E157" s="3" t="s">
        <v>11</v>
      </c>
    </row>
    <row r="158">
      <c r="A158" s="1" t="s">
        <v>167</v>
      </c>
      <c r="B158" s="1" t="s">
        <v>168</v>
      </c>
      <c r="C158" s="3" t="s">
        <v>9</v>
      </c>
      <c r="D158" s="3" t="s">
        <v>10</v>
      </c>
      <c r="E158" s="3" t="s">
        <v>11</v>
      </c>
    </row>
    <row r="159">
      <c r="A159" s="1" t="s">
        <v>275</v>
      </c>
      <c r="B159" s="1" t="s">
        <v>276</v>
      </c>
      <c r="C159" s="3" t="s">
        <v>9</v>
      </c>
      <c r="D159" s="3" t="s">
        <v>18</v>
      </c>
      <c r="E159" s="3" t="s">
        <v>11</v>
      </c>
    </row>
    <row r="160">
      <c r="A160" s="1" t="s">
        <v>284</v>
      </c>
      <c r="B160" s="1" t="s">
        <v>286</v>
      </c>
      <c r="C160" s="3" t="s">
        <v>9</v>
      </c>
      <c r="D160" s="3" t="s">
        <v>18</v>
      </c>
      <c r="E160" s="3" t="s">
        <v>11</v>
      </c>
    </row>
    <row r="161">
      <c r="A161" s="1" t="s">
        <v>178</v>
      </c>
      <c r="B161" s="1" t="s">
        <v>179</v>
      </c>
      <c r="C161" s="3" t="s">
        <v>9</v>
      </c>
      <c r="D161" s="3" t="s">
        <v>10</v>
      </c>
      <c r="E161" s="3" t="s">
        <v>38</v>
      </c>
    </row>
    <row r="162">
      <c r="A162" s="1" t="s">
        <v>291</v>
      </c>
      <c r="B162" s="1" t="s">
        <v>293</v>
      </c>
      <c r="C162" s="3" t="s">
        <v>9</v>
      </c>
      <c r="D162" s="3" t="s">
        <v>18</v>
      </c>
      <c r="E162" s="3" t="s">
        <v>38</v>
      </c>
    </row>
    <row r="163">
      <c r="A163" s="1" t="s">
        <v>300</v>
      </c>
      <c r="B163" s="1" t="s">
        <v>301</v>
      </c>
      <c r="C163" s="3" t="s">
        <v>9</v>
      </c>
      <c r="D163" s="3" t="s">
        <v>18</v>
      </c>
      <c r="E163" s="3" t="s">
        <v>38</v>
      </c>
    </row>
    <row r="164">
      <c r="A164" s="1" t="s">
        <v>311</v>
      </c>
      <c r="B164" s="1" t="s">
        <v>313</v>
      </c>
      <c r="C164" s="3" t="s">
        <v>9</v>
      </c>
      <c r="D164" s="3" t="s">
        <v>18</v>
      </c>
      <c r="E164" s="3" t="s">
        <v>38</v>
      </c>
    </row>
    <row r="165">
      <c r="A165" s="1" t="s">
        <v>319</v>
      </c>
      <c r="B165" s="1" t="s">
        <v>321</v>
      </c>
      <c r="C165" s="3" t="s">
        <v>9</v>
      </c>
      <c r="D165" s="3" t="s">
        <v>18</v>
      </c>
      <c r="E165" s="3" t="s">
        <v>38</v>
      </c>
    </row>
    <row r="166">
      <c r="A166" s="1" t="s">
        <v>330</v>
      </c>
      <c r="B166" s="1" t="s">
        <v>331</v>
      </c>
      <c r="C166" s="3" t="s">
        <v>9</v>
      </c>
      <c r="D166" s="3" t="s">
        <v>18</v>
      </c>
      <c r="E166" s="3" t="s">
        <v>38</v>
      </c>
    </row>
    <row r="167">
      <c r="A167" s="1" t="s">
        <v>483</v>
      </c>
      <c r="B167" s="1" t="s">
        <v>485</v>
      </c>
      <c r="C167" s="3" t="s">
        <v>9</v>
      </c>
      <c r="D167" s="3" t="s">
        <v>18</v>
      </c>
      <c r="E167" s="3" t="s">
        <v>38</v>
      </c>
    </row>
    <row r="168">
      <c r="A168" s="1" t="s">
        <v>486</v>
      </c>
      <c r="B168" s="1" t="s">
        <v>487</v>
      </c>
      <c r="C168" s="3" t="s">
        <v>9</v>
      </c>
      <c r="D168" s="3" t="s">
        <v>18</v>
      </c>
      <c r="E168" s="3" t="s">
        <v>38</v>
      </c>
    </row>
    <row r="169">
      <c r="A169" s="1" t="s">
        <v>488</v>
      </c>
      <c r="B169" s="1" t="s">
        <v>489</v>
      </c>
      <c r="C169" s="3" t="s">
        <v>9</v>
      </c>
      <c r="D169" s="3" t="s">
        <v>18</v>
      </c>
      <c r="E169" s="3" t="s">
        <v>38</v>
      </c>
    </row>
    <row r="170">
      <c r="A170" s="1" t="s">
        <v>491</v>
      </c>
      <c r="B170" s="1" t="s">
        <v>492</v>
      </c>
      <c r="C170" s="3" t="s">
        <v>9</v>
      </c>
      <c r="D170" s="3" t="s">
        <v>18</v>
      </c>
      <c r="E170" s="3" t="s">
        <v>38</v>
      </c>
    </row>
    <row r="171">
      <c r="A171" s="1" t="s">
        <v>493</v>
      </c>
      <c r="B171" s="1" t="s">
        <v>494</v>
      </c>
      <c r="C171" s="3" t="s">
        <v>9</v>
      </c>
      <c r="D171" s="3" t="s">
        <v>18</v>
      </c>
      <c r="E171" s="3" t="s">
        <v>11</v>
      </c>
    </row>
    <row r="172">
      <c r="A172" s="1" t="s">
        <v>338</v>
      </c>
      <c r="B172" s="1" t="s">
        <v>340</v>
      </c>
      <c r="C172" s="3" t="s">
        <v>9</v>
      </c>
      <c r="D172" s="3" t="s">
        <v>18</v>
      </c>
      <c r="E172" s="3" t="s">
        <v>11</v>
      </c>
    </row>
    <row r="173">
      <c r="A173" s="1" t="s">
        <v>350</v>
      </c>
      <c r="B173" s="1" t="s">
        <v>352</v>
      </c>
      <c r="C173" s="3" t="s">
        <v>9</v>
      </c>
      <c r="D173" s="3" t="s">
        <v>18</v>
      </c>
      <c r="E173" s="3" t="s">
        <v>38</v>
      </c>
    </row>
    <row r="174">
      <c r="A174" s="1" t="s">
        <v>496</v>
      </c>
      <c r="B174" s="1" t="s">
        <v>498</v>
      </c>
      <c r="C174" s="3" t="s">
        <v>9</v>
      </c>
      <c r="D174" s="3" t="s">
        <v>18</v>
      </c>
      <c r="E174" s="3" t="s">
        <v>38</v>
      </c>
    </row>
    <row r="175">
      <c r="A175" s="1" t="s">
        <v>500</v>
      </c>
      <c r="B175" s="1" t="s">
        <v>501</v>
      </c>
      <c r="C175" s="3" t="s">
        <v>9</v>
      </c>
      <c r="D175" s="3" t="s">
        <v>18</v>
      </c>
      <c r="E175" s="3" t="s">
        <v>38</v>
      </c>
    </row>
    <row r="176">
      <c r="A176" s="1" t="s">
        <v>502</v>
      </c>
      <c r="B176" s="1" t="s">
        <v>503</v>
      </c>
      <c r="C176" s="3" t="s">
        <v>9</v>
      </c>
      <c r="D176" s="3" t="s">
        <v>18</v>
      </c>
      <c r="E176" s="3" t="s">
        <v>11</v>
      </c>
    </row>
    <row r="177">
      <c r="A177" s="1" t="s">
        <v>506</v>
      </c>
      <c r="B177" s="1" t="s">
        <v>507</v>
      </c>
      <c r="C177" s="3" t="s">
        <v>9</v>
      </c>
      <c r="D177" s="3" t="s">
        <v>18</v>
      </c>
      <c r="E177" s="3" t="s">
        <v>11</v>
      </c>
    </row>
    <row r="178">
      <c r="A178" s="1" t="s">
        <v>508</v>
      </c>
      <c r="B178" s="1" t="s">
        <v>509</v>
      </c>
      <c r="C178" s="3" t="s">
        <v>9</v>
      </c>
      <c r="D178" s="3" t="s">
        <v>18</v>
      </c>
      <c r="E178" s="3" t="s">
        <v>11</v>
      </c>
    </row>
    <row r="179">
      <c r="A179" s="1" t="s">
        <v>360</v>
      </c>
      <c r="B179" s="1" t="s">
        <v>363</v>
      </c>
      <c r="C179" s="3" t="s">
        <v>9</v>
      </c>
      <c r="D179" s="3" t="s">
        <v>18</v>
      </c>
      <c r="E179" s="3" t="s">
        <v>11</v>
      </c>
    </row>
    <row r="180">
      <c r="A180" s="1" t="s">
        <v>512</v>
      </c>
      <c r="B180" s="1" t="s">
        <v>513</v>
      </c>
      <c r="C180" s="3" t="s">
        <v>9</v>
      </c>
      <c r="D180" s="3" t="s">
        <v>18</v>
      </c>
      <c r="E180" s="3" t="s">
        <v>11</v>
      </c>
    </row>
    <row r="181">
      <c r="A181" s="1" t="s">
        <v>514</v>
      </c>
      <c r="B181" s="1" t="s">
        <v>515</v>
      </c>
      <c r="C181" s="3" t="s">
        <v>9</v>
      </c>
      <c r="D181" s="3" t="s">
        <v>18</v>
      </c>
      <c r="E181" s="3" t="s">
        <v>11</v>
      </c>
    </row>
    <row r="182">
      <c r="A182" s="1" t="s">
        <v>518</v>
      </c>
      <c r="B182" s="1" t="s">
        <v>519</v>
      </c>
      <c r="C182" s="3" t="s">
        <v>9</v>
      </c>
      <c r="D182" s="3" t="s">
        <v>18</v>
      </c>
      <c r="E182" s="3" t="s">
        <v>11</v>
      </c>
    </row>
    <row r="183">
      <c r="A183" s="1" t="s">
        <v>520</v>
      </c>
      <c r="B183" s="1" t="s">
        <v>521</v>
      </c>
      <c r="C183" s="3" t="s">
        <v>9</v>
      </c>
      <c r="D183" s="3" t="s">
        <v>18</v>
      </c>
      <c r="E183" s="3" t="s">
        <v>11</v>
      </c>
    </row>
    <row r="184">
      <c r="A184" s="1" t="s">
        <v>188</v>
      </c>
      <c r="B184" s="1" t="s">
        <v>189</v>
      </c>
      <c r="C184" s="3" t="s">
        <v>9</v>
      </c>
      <c r="D184" s="3" t="s">
        <v>10</v>
      </c>
      <c r="E184" s="3" t="s">
        <v>11</v>
      </c>
    </row>
    <row r="185">
      <c r="A185" s="1" t="s">
        <v>196</v>
      </c>
      <c r="B185" s="1" t="s">
        <v>198</v>
      </c>
      <c r="C185" s="3" t="s">
        <v>9</v>
      </c>
      <c r="D185" s="3" t="s">
        <v>10</v>
      </c>
      <c r="E185" s="3" t="s">
        <v>11</v>
      </c>
    </row>
    <row r="186">
      <c r="A186" s="1" t="s">
        <v>524</v>
      </c>
      <c r="B186" s="1" t="s">
        <v>525</v>
      </c>
      <c r="C186" s="3" t="s">
        <v>9</v>
      </c>
      <c r="D186" s="3" t="s">
        <v>10</v>
      </c>
      <c r="E186" s="3" t="s">
        <v>11</v>
      </c>
    </row>
    <row r="187">
      <c r="A187" s="1" t="s">
        <v>528</v>
      </c>
      <c r="B187" s="1" t="s">
        <v>529</v>
      </c>
      <c r="C187" s="3" t="s">
        <v>9</v>
      </c>
      <c r="D187" s="3" t="s">
        <v>10</v>
      </c>
      <c r="E187" s="3" t="s">
        <v>38</v>
      </c>
    </row>
    <row r="188">
      <c r="A188" s="1" t="s">
        <v>530</v>
      </c>
      <c r="B188" s="1" t="s">
        <v>531</v>
      </c>
      <c r="C188" s="3" t="s">
        <v>9</v>
      </c>
      <c r="D188" s="3" t="s">
        <v>10</v>
      </c>
      <c r="E188" s="3" t="s">
        <v>38</v>
      </c>
    </row>
    <row r="189">
      <c r="A189" s="1" t="s">
        <v>205</v>
      </c>
      <c r="B189" s="1" t="s">
        <v>207</v>
      </c>
      <c r="C189" s="3" t="s">
        <v>9</v>
      </c>
      <c r="D189" s="3" t="s">
        <v>10</v>
      </c>
      <c r="E189" s="3" t="s">
        <v>11</v>
      </c>
    </row>
    <row r="190">
      <c r="A190" s="1" t="s">
        <v>212</v>
      </c>
      <c r="B190" s="1" t="s">
        <v>213</v>
      </c>
      <c r="C190" s="3" t="s">
        <v>9</v>
      </c>
      <c r="D190" s="3" t="s">
        <v>10</v>
      </c>
      <c r="E190" s="3" t="s">
        <v>38</v>
      </c>
    </row>
    <row r="191">
      <c r="A191" s="1" t="s">
        <v>219</v>
      </c>
      <c r="B191" s="1" t="s">
        <v>221</v>
      </c>
      <c r="C191" s="3" t="s">
        <v>9</v>
      </c>
      <c r="D191" s="3" t="s">
        <v>10</v>
      </c>
      <c r="E191" s="3" t="s">
        <v>38</v>
      </c>
    </row>
    <row r="192">
      <c r="A192" s="1" t="s">
        <v>536</v>
      </c>
      <c r="B192" s="1" t="s">
        <v>537</v>
      </c>
      <c r="C192" s="3" t="s">
        <v>9</v>
      </c>
      <c r="D192" s="3" t="s">
        <v>10</v>
      </c>
      <c r="E192" s="3" t="s">
        <v>38</v>
      </c>
    </row>
    <row r="193">
      <c r="A193" s="1" t="s">
        <v>538</v>
      </c>
      <c r="B193" s="1" t="s">
        <v>539</v>
      </c>
      <c r="C193" s="3" t="s">
        <v>9</v>
      </c>
      <c r="D193" s="3" t="s">
        <v>10</v>
      </c>
      <c r="E193" s="3" t="s">
        <v>38</v>
      </c>
    </row>
    <row r="194">
      <c r="A194" s="1" t="s">
        <v>227</v>
      </c>
      <c r="B194" s="1" t="s">
        <v>228</v>
      </c>
      <c r="C194" s="3" t="s">
        <v>9</v>
      </c>
      <c r="D194" s="3" t="s">
        <v>10</v>
      </c>
      <c r="E194" s="3" t="s">
        <v>11</v>
      </c>
    </row>
    <row r="195">
      <c r="A195" s="1" t="s">
        <v>543</v>
      </c>
      <c r="B195" s="1" t="s">
        <v>544</v>
      </c>
      <c r="C195" s="3" t="s">
        <v>9</v>
      </c>
      <c r="D195" s="3" t="s">
        <v>10</v>
      </c>
      <c r="E195" s="3" t="s">
        <v>38</v>
      </c>
    </row>
  </sheetData>
  <autoFilter ref="$A$1:$E$1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53.13"/>
    <col customWidth="1" min="3" max="3" width="25.0"/>
    <col customWidth="1" min="4" max="4" width="28.25"/>
    <col customWidth="1" min="5" max="5" width="13.25"/>
    <col customWidth="1" min="6" max="6" width="10.75"/>
    <col customWidth="1" min="7" max="7" width="17.0"/>
    <col customWidth="1" min="8" max="8" width="19.75"/>
    <col customWidth="1" min="9" max="9" width="13.88"/>
    <col customWidth="1" min="10" max="10" width="12.25"/>
  </cols>
  <sheetData>
    <row r="1">
      <c r="A1" s="2" t="s">
        <v>0</v>
      </c>
      <c r="B1" s="2" t="s">
        <v>1</v>
      </c>
      <c r="C1" s="4" t="s">
        <v>2</v>
      </c>
      <c r="D1" s="4" t="s">
        <v>5</v>
      </c>
      <c r="E1" s="4" t="s">
        <v>8</v>
      </c>
      <c r="F1" s="4" t="s">
        <v>3</v>
      </c>
      <c r="G1" s="5" t="s">
        <v>12</v>
      </c>
      <c r="H1" s="4" t="s">
        <v>15</v>
      </c>
      <c r="I1" s="4" t="s">
        <v>17</v>
      </c>
      <c r="J1" s="4" t="s">
        <v>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6</v>
      </c>
      <c r="B2" s="9" t="s">
        <v>49</v>
      </c>
      <c r="C2" s="10" t="s">
        <v>50</v>
      </c>
      <c r="D2" s="10" t="s">
        <v>56</v>
      </c>
      <c r="E2" s="10">
        <v>1.00904010075E11</v>
      </c>
      <c r="F2" s="10" t="s">
        <v>10</v>
      </c>
      <c r="G2" s="11" t="s">
        <v>61</v>
      </c>
      <c r="H2" s="10" t="s">
        <v>43</v>
      </c>
      <c r="I2" s="10">
        <v>1.0</v>
      </c>
      <c r="J2" s="10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9" t="s">
        <v>13</v>
      </c>
      <c r="B3" s="9" t="s">
        <v>71</v>
      </c>
      <c r="C3" s="10" t="s">
        <v>72</v>
      </c>
      <c r="D3" s="10" t="s">
        <v>56</v>
      </c>
      <c r="E3" s="10">
        <v>1.10724011547E11</v>
      </c>
      <c r="F3" s="10" t="s">
        <v>10</v>
      </c>
      <c r="G3" s="11" t="s">
        <v>61</v>
      </c>
      <c r="H3" s="10" t="s">
        <v>43</v>
      </c>
      <c r="I3" s="10">
        <v>2.0</v>
      </c>
      <c r="J3" s="10" t="s">
        <v>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9" t="s">
        <v>19</v>
      </c>
      <c r="B4" s="9" t="s">
        <v>80</v>
      </c>
      <c r="C4" s="10" t="s">
        <v>82</v>
      </c>
      <c r="D4" s="10" t="s">
        <v>56</v>
      </c>
      <c r="E4" s="10">
        <v>1.10122010221E11</v>
      </c>
      <c r="F4" s="10" t="s">
        <v>10</v>
      </c>
      <c r="G4" s="11" t="s">
        <v>61</v>
      </c>
      <c r="H4" s="10" t="s">
        <v>43</v>
      </c>
      <c r="I4" s="10">
        <v>3.0</v>
      </c>
      <c r="J4" s="10" t="s">
        <v>11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9" t="s">
        <v>23</v>
      </c>
      <c r="B5" s="9" t="s">
        <v>90</v>
      </c>
      <c r="C5" s="10" t="s">
        <v>92</v>
      </c>
      <c r="D5" s="10" t="s">
        <v>56</v>
      </c>
      <c r="E5" s="10">
        <v>1.10106011603E11</v>
      </c>
      <c r="F5" s="10" t="s">
        <v>10</v>
      </c>
      <c r="G5" s="11" t="s">
        <v>61</v>
      </c>
      <c r="H5" s="10" t="s">
        <v>43</v>
      </c>
      <c r="I5" s="10">
        <v>4.0</v>
      </c>
      <c r="J5" s="10" t="s">
        <v>11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9" t="s">
        <v>25</v>
      </c>
      <c r="B6" s="9" t="s">
        <v>98</v>
      </c>
      <c r="C6" s="10" t="s">
        <v>100</v>
      </c>
      <c r="D6" s="10" t="s">
        <v>56</v>
      </c>
      <c r="E6" s="10">
        <v>1.10315011175E11</v>
      </c>
      <c r="F6" s="10" t="s">
        <v>10</v>
      </c>
      <c r="G6" s="11" t="s">
        <v>61</v>
      </c>
      <c r="H6" s="10" t="s">
        <v>43</v>
      </c>
      <c r="I6" s="10">
        <v>5.0</v>
      </c>
      <c r="J6" s="10" t="s">
        <v>11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9" t="s">
        <v>28</v>
      </c>
      <c r="B7" s="9" t="s">
        <v>110</v>
      </c>
      <c r="C7" s="10" t="s">
        <v>100</v>
      </c>
      <c r="D7" s="10" t="s">
        <v>56</v>
      </c>
      <c r="E7" s="10">
        <v>1.00204011333E11</v>
      </c>
      <c r="F7" s="10" t="s">
        <v>10</v>
      </c>
      <c r="G7" s="11" t="s">
        <v>61</v>
      </c>
      <c r="H7" s="10" t="s">
        <v>43</v>
      </c>
      <c r="I7" s="10">
        <v>6.0</v>
      </c>
      <c r="J7" s="10" t="s">
        <v>11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9" t="s">
        <v>31</v>
      </c>
      <c r="B8" s="9" t="s">
        <v>119</v>
      </c>
      <c r="C8" s="10" t="s">
        <v>59</v>
      </c>
      <c r="D8" s="10" t="s">
        <v>56</v>
      </c>
      <c r="E8" s="10">
        <v>1.10615010609E11</v>
      </c>
      <c r="F8" s="10" t="s">
        <v>10</v>
      </c>
      <c r="G8" s="11" t="s">
        <v>61</v>
      </c>
      <c r="H8" s="10" t="s">
        <v>43</v>
      </c>
      <c r="I8" s="10">
        <v>7.0</v>
      </c>
      <c r="J8" s="10" t="s">
        <v>11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9" t="s">
        <v>35</v>
      </c>
      <c r="B9" s="9" t="s">
        <v>130</v>
      </c>
      <c r="C9" s="10" t="s">
        <v>132</v>
      </c>
      <c r="D9" s="10" t="s">
        <v>56</v>
      </c>
      <c r="E9" s="10">
        <v>1.00124010293E11</v>
      </c>
      <c r="F9" s="10" t="s">
        <v>10</v>
      </c>
      <c r="G9" s="11" t="s">
        <v>61</v>
      </c>
      <c r="H9" s="10" t="s">
        <v>43</v>
      </c>
      <c r="I9" s="10">
        <v>8.0</v>
      </c>
      <c r="J9" s="10" t="s">
        <v>11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9" t="s">
        <v>39</v>
      </c>
      <c r="B10" s="9" t="s">
        <v>145</v>
      </c>
      <c r="C10" s="10" t="s">
        <v>27</v>
      </c>
      <c r="D10" s="10" t="s">
        <v>56</v>
      </c>
      <c r="E10" s="10">
        <v>1.10614010033E11</v>
      </c>
      <c r="F10" s="10" t="s">
        <v>10</v>
      </c>
      <c r="G10" s="11" t="s">
        <v>61</v>
      </c>
      <c r="H10" s="10" t="s">
        <v>43</v>
      </c>
      <c r="I10" s="10">
        <v>9.0</v>
      </c>
      <c r="J10" s="10" t="s">
        <v>11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9" t="s">
        <v>44</v>
      </c>
      <c r="B11" s="9" t="s">
        <v>158</v>
      </c>
      <c r="C11" s="10" t="s">
        <v>27</v>
      </c>
      <c r="D11" s="10" t="s">
        <v>56</v>
      </c>
      <c r="E11" s="10">
        <v>1.10225011315E11</v>
      </c>
      <c r="F11" s="10" t="s">
        <v>10</v>
      </c>
      <c r="G11" s="11" t="s">
        <v>61</v>
      </c>
      <c r="H11" s="10" t="s">
        <v>43</v>
      </c>
      <c r="I11" s="10">
        <v>10.0</v>
      </c>
      <c r="J11" s="10" t="s">
        <v>11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9" t="s">
        <v>171</v>
      </c>
      <c r="B12" s="9" t="s">
        <v>172</v>
      </c>
      <c r="C12" s="10" t="s">
        <v>27</v>
      </c>
      <c r="D12" s="10" t="s">
        <v>56</v>
      </c>
      <c r="E12" s="10">
        <v>1.10713011461E11</v>
      </c>
      <c r="F12" s="10" t="s">
        <v>10</v>
      </c>
      <c r="G12" s="11" t="s">
        <v>61</v>
      </c>
      <c r="H12" s="10" t="s">
        <v>43</v>
      </c>
      <c r="I12" s="10">
        <v>11.0</v>
      </c>
      <c r="J12" s="10" t="s">
        <v>11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9" t="s">
        <v>46</v>
      </c>
      <c r="B13" s="9" t="s">
        <v>183</v>
      </c>
      <c r="C13" s="10" t="s">
        <v>27</v>
      </c>
      <c r="D13" s="10" t="s">
        <v>56</v>
      </c>
      <c r="E13" s="10">
        <v>1.10813011047E11</v>
      </c>
      <c r="F13" s="10" t="s">
        <v>10</v>
      </c>
      <c r="G13" s="11" t="s">
        <v>61</v>
      </c>
      <c r="H13" s="10" t="s">
        <v>43</v>
      </c>
      <c r="I13" s="10">
        <v>12.0</v>
      </c>
      <c r="J13" s="10" t="s">
        <v>11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9" t="s">
        <v>51</v>
      </c>
      <c r="B14" s="9" t="s">
        <v>193</v>
      </c>
      <c r="C14" s="10" t="s">
        <v>125</v>
      </c>
      <c r="D14" s="10" t="s">
        <v>56</v>
      </c>
      <c r="E14" s="10">
        <v>1.20328011421E11</v>
      </c>
      <c r="F14" s="10" t="s">
        <v>10</v>
      </c>
      <c r="G14" s="11" t="s">
        <v>61</v>
      </c>
      <c r="H14" s="10" t="s">
        <v>43</v>
      </c>
      <c r="I14" s="10">
        <v>13.0</v>
      </c>
      <c r="J14" s="10" t="s">
        <v>38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9" t="s">
        <v>53</v>
      </c>
      <c r="B15" s="9" t="s">
        <v>202</v>
      </c>
      <c r="C15" s="10" t="s">
        <v>203</v>
      </c>
      <c r="D15" s="10" t="s">
        <v>56</v>
      </c>
      <c r="E15" s="10">
        <v>1.01129011847E11</v>
      </c>
      <c r="F15" s="10" t="s">
        <v>10</v>
      </c>
      <c r="G15" s="11" t="s">
        <v>61</v>
      </c>
      <c r="H15" s="10" t="s">
        <v>43</v>
      </c>
      <c r="I15" s="10">
        <v>14.0</v>
      </c>
      <c r="J15" s="10" t="s">
        <v>11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9" t="s">
        <v>57</v>
      </c>
      <c r="B16" s="9" t="s">
        <v>215</v>
      </c>
      <c r="C16" s="10" t="s">
        <v>166</v>
      </c>
      <c r="D16" s="10" t="s">
        <v>56</v>
      </c>
      <c r="E16" s="10">
        <v>1.20904012095E11</v>
      </c>
      <c r="F16" s="10" t="s">
        <v>10</v>
      </c>
      <c r="G16" s="11" t="s">
        <v>61</v>
      </c>
      <c r="H16" s="10" t="s">
        <v>43</v>
      </c>
      <c r="I16" s="10">
        <v>15.0</v>
      </c>
      <c r="J16" s="10" t="s">
        <v>38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9" t="s">
        <v>60</v>
      </c>
      <c r="B17" s="9" t="s">
        <v>225</v>
      </c>
      <c r="C17" s="10" t="s">
        <v>226</v>
      </c>
      <c r="D17" s="10" t="s">
        <v>56</v>
      </c>
      <c r="E17" s="10">
        <v>1.20803103019E11</v>
      </c>
      <c r="F17" s="10" t="s">
        <v>10</v>
      </c>
      <c r="G17" s="11" t="s">
        <v>61</v>
      </c>
      <c r="H17" s="10" t="s">
        <v>43</v>
      </c>
      <c r="I17" s="10">
        <v>16.0</v>
      </c>
      <c r="J17" s="10" t="s">
        <v>11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9" t="s">
        <v>63</v>
      </c>
      <c r="B18" s="9" t="s">
        <v>237</v>
      </c>
      <c r="C18" s="10" t="s">
        <v>238</v>
      </c>
      <c r="D18" s="10" t="s">
        <v>56</v>
      </c>
      <c r="E18" s="10" t="s">
        <v>240</v>
      </c>
      <c r="F18" s="10" t="s">
        <v>10</v>
      </c>
      <c r="G18" s="11" t="s">
        <v>61</v>
      </c>
      <c r="H18" s="10" t="s">
        <v>43</v>
      </c>
      <c r="I18" s="10">
        <v>17.0</v>
      </c>
      <c r="J18" s="10" t="s">
        <v>38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9" t="s">
        <v>65</v>
      </c>
      <c r="B19" s="9" t="s">
        <v>247</v>
      </c>
      <c r="C19" s="10" t="s">
        <v>48</v>
      </c>
      <c r="D19" s="10" t="s">
        <v>56</v>
      </c>
      <c r="E19" s="10">
        <v>1.10425010835E11</v>
      </c>
      <c r="F19" s="10" t="s">
        <v>10</v>
      </c>
      <c r="G19" s="11" t="s">
        <v>61</v>
      </c>
      <c r="H19" s="10" t="s">
        <v>43</v>
      </c>
      <c r="I19" s="10">
        <v>18.0</v>
      </c>
      <c r="J19" s="10" t="s">
        <v>11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9" t="s">
        <v>67</v>
      </c>
      <c r="B20" s="9" t="s">
        <v>260</v>
      </c>
      <c r="C20" s="10" t="s">
        <v>48</v>
      </c>
      <c r="D20" s="10" t="s">
        <v>56</v>
      </c>
      <c r="E20" s="10">
        <v>1.10816011405E11</v>
      </c>
      <c r="F20" s="10" t="s">
        <v>10</v>
      </c>
      <c r="G20" s="11" t="s">
        <v>61</v>
      </c>
      <c r="H20" s="10" t="s">
        <v>43</v>
      </c>
      <c r="I20" s="10">
        <v>19.0</v>
      </c>
      <c r="J20" s="10" t="s">
        <v>11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9" t="s">
        <v>69</v>
      </c>
      <c r="B21" s="9" t="s">
        <v>271</v>
      </c>
      <c r="C21" s="10" t="s">
        <v>48</v>
      </c>
      <c r="D21" s="10" t="s">
        <v>56</v>
      </c>
      <c r="E21" s="10">
        <v>1.10116010567E11</v>
      </c>
      <c r="F21" s="10" t="s">
        <v>10</v>
      </c>
      <c r="G21" s="11" t="s">
        <v>61</v>
      </c>
      <c r="H21" s="10" t="s">
        <v>43</v>
      </c>
      <c r="I21" s="10">
        <v>20.0</v>
      </c>
      <c r="J21" s="10" t="s">
        <v>11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9" t="s">
        <v>281</v>
      </c>
      <c r="B22" s="9" t="s">
        <v>282</v>
      </c>
      <c r="C22" s="10" t="s">
        <v>48</v>
      </c>
      <c r="D22" s="10" t="s">
        <v>56</v>
      </c>
      <c r="E22" s="10">
        <v>1.11031010343E11</v>
      </c>
      <c r="F22" s="10" t="s">
        <v>10</v>
      </c>
      <c r="G22" s="11" t="s">
        <v>61</v>
      </c>
      <c r="H22" s="10" t="s">
        <v>43</v>
      </c>
      <c r="I22" s="10">
        <v>21.0</v>
      </c>
      <c r="J22" s="10" t="s">
        <v>11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9" t="s">
        <v>73</v>
      </c>
      <c r="B23" s="9" t="s">
        <v>295</v>
      </c>
      <c r="C23" s="10" t="s">
        <v>48</v>
      </c>
      <c r="D23" s="10" t="s">
        <v>56</v>
      </c>
      <c r="E23" s="10">
        <v>1.20809011027E11</v>
      </c>
      <c r="F23" s="10" t="s">
        <v>10</v>
      </c>
      <c r="G23" s="11" t="s">
        <v>61</v>
      </c>
      <c r="H23" s="10" t="s">
        <v>43</v>
      </c>
      <c r="I23" s="10">
        <v>22.0</v>
      </c>
      <c r="J23" s="10" t="s">
        <v>11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9" t="s">
        <v>305</v>
      </c>
      <c r="B24" s="9" t="s">
        <v>307</v>
      </c>
      <c r="C24" s="10" t="s">
        <v>309</v>
      </c>
      <c r="D24" s="10" t="s">
        <v>56</v>
      </c>
      <c r="E24" s="10">
        <v>1.21118010089E11</v>
      </c>
      <c r="F24" s="10" t="s">
        <v>10</v>
      </c>
      <c r="G24" s="11" t="s">
        <v>61</v>
      </c>
      <c r="H24" s="10" t="s">
        <v>43</v>
      </c>
      <c r="I24" s="10">
        <v>23.0</v>
      </c>
      <c r="J24" s="10" t="s">
        <v>11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9" t="s">
        <v>320</v>
      </c>
      <c r="B25" s="9" t="s">
        <v>322</v>
      </c>
      <c r="C25" s="10" t="s">
        <v>323</v>
      </c>
      <c r="D25" s="10" t="s">
        <v>56</v>
      </c>
      <c r="E25" s="10">
        <v>1.11119010576E11</v>
      </c>
      <c r="F25" s="10" t="s">
        <v>10</v>
      </c>
      <c r="G25" s="11" t="s">
        <v>61</v>
      </c>
      <c r="H25" s="10" t="s">
        <v>43</v>
      </c>
      <c r="I25" s="10">
        <v>24.0</v>
      </c>
      <c r="J25" s="10" t="s">
        <v>11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9" t="s">
        <v>333</v>
      </c>
      <c r="B26" s="9" t="s">
        <v>335</v>
      </c>
      <c r="C26" s="10" t="s">
        <v>336</v>
      </c>
      <c r="D26" s="10" t="s">
        <v>56</v>
      </c>
      <c r="E26" s="10">
        <v>1.10612010099E11</v>
      </c>
      <c r="F26" s="10" t="s">
        <v>10</v>
      </c>
      <c r="G26" s="11" t="s">
        <v>61</v>
      </c>
      <c r="H26" s="10" t="s">
        <v>43</v>
      </c>
      <c r="I26" s="10">
        <v>25.0</v>
      </c>
      <c r="J26" s="10" t="s">
        <v>11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9" t="s">
        <v>346</v>
      </c>
      <c r="B27" s="9" t="s">
        <v>348</v>
      </c>
      <c r="C27" s="10" t="s">
        <v>349</v>
      </c>
      <c r="D27" s="10" t="s">
        <v>56</v>
      </c>
      <c r="E27" s="10">
        <v>1.00402080655E11</v>
      </c>
      <c r="F27" s="10" t="s">
        <v>10</v>
      </c>
      <c r="G27" s="11" t="s">
        <v>61</v>
      </c>
      <c r="H27" s="10" t="s">
        <v>43</v>
      </c>
      <c r="I27" s="10">
        <v>26.0</v>
      </c>
      <c r="J27" s="10" t="s">
        <v>38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9" t="s">
        <v>361</v>
      </c>
      <c r="B28" s="9" t="s">
        <v>362</v>
      </c>
      <c r="C28" s="10" t="s">
        <v>16</v>
      </c>
      <c r="D28" s="10" t="s">
        <v>56</v>
      </c>
      <c r="E28" s="10">
        <v>1.00508010911E11</v>
      </c>
      <c r="F28" s="10" t="s">
        <v>10</v>
      </c>
      <c r="G28" s="11" t="s">
        <v>61</v>
      </c>
      <c r="H28" s="10" t="s">
        <v>43</v>
      </c>
      <c r="I28" s="10">
        <v>27.0</v>
      </c>
      <c r="J28" s="10" t="s">
        <v>11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9" t="s">
        <v>375</v>
      </c>
      <c r="B29" s="9" t="s">
        <v>377</v>
      </c>
      <c r="C29" s="10" t="s">
        <v>16</v>
      </c>
      <c r="D29" s="10" t="s">
        <v>56</v>
      </c>
      <c r="E29" s="10">
        <v>1.11208030121E11</v>
      </c>
      <c r="F29" s="10" t="s">
        <v>10</v>
      </c>
      <c r="G29" s="11" t="s">
        <v>61</v>
      </c>
      <c r="H29" s="10" t="s">
        <v>43</v>
      </c>
      <c r="I29" s="10">
        <v>28.0</v>
      </c>
      <c r="J29" s="10" t="s">
        <v>11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9" t="s">
        <v>75</v>
      </c>
      <c r="B30" s="9" t="s">
        <v>385</v>
      </c>
      <c r="C30" s="10" t="s">
        <v>50</v>
      </c>
      <c r="D30" s="10" t="s">
        <v>56</v>
      </c>
      <c r="E30" s="10">
        <v>1.00910100173E11</v>
      </c>
      <c r="F30" s="10" t="s">
        <v>10</v>
      </c>
      <c r="G30" s="11" t="s">
        <v>61</v>
      </c>
      <c r="H30" s="10" t="s">
        <v>143</v>
      </c>
      <c r="I30" s="10">
        <v>1.0</v>
      </c>
      <c r="J30" s="10" t="s">
        <v>11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9" t="s">
        <v>77</v>
      </c>
      <c r="B31" s="9" t="s">
        <v>395</v>
      </c>
      <c r="C31" s="10" t="s">
        <v>397</v>
      </c>
      <c r="D31" s="10" t="s">
        <v>56</v>
      </c>
      <c r="E31" s="10">
        <v>1.10626140089E11</v>
      </c>
      <c r="F31" s="10" t="s">
        <v>10</v>
      </c>
      <c r="G31" s="11" t="s">
        <v>61</v>
      </c>
      <c r="H31" s="10" t="s">
        <v>143</v>
      </c>
      <c r="I31" s="10">
        <v>2.0</v>
      </c>
      <c r="J31" s="10" t="s">
        <v>11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9" t="s">
        <v>79</v>
      </c>
      <c r="B32" s="9" t="s">
        <v>406</v>
      </c>
      <c r="C32" s="10" t="s">
        <v>82</v>
      </c>
      <c r="D32" s="10" t="s">
        <v>56</v>
      </c>
      <c r="E32" s="10">
        <v>1.10124010591E11</v>
      </c>
      <c r="F32" s="10" t="s">
        <v>10</v>
      </c>
      <c r="G32" s="11" t="s">
        <v>61</v>
      </c>
      <c r="H32" s="10" t="s">
        <v>143</v>
      </c>
      <c r="I32" s="10">
        <v>3.0</v>
      </c>
      <c r="J32" s="10" t="s">
        <v>11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9" t="s">
        <v>83</v>
      </c>
      <c r="B33" s="9" t="s">
        <v>414</v>
      </c>
      <c r="C33" s="10" t="s">
        <v>92</v>
      </c>
      <c r="D33" s="10" t="s">
        <v>56</v>
      </c>
      <c r="E33" s="10">
        <v>1.10206010341E11</v>
      </c>
      <c r="F33" s="10" t="s">
        <v>10</v>
      </c>
      <c r="G33" s="11" t="s">
        <v>61</v>
      </c>
      <c r="H33" s="10" t="s">
        <v>143</v>
      </c>
      <c r="I33" s="10">
        <v>4.0</v>
      </c>
      <c r="J33" s="10" t="s">
        <v>11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9" t="s">
        <v>85</v>
      </c>
      <c r="B34" s="9" t="s">
        <v>424</v>
      </c>
      <c r="C34" s="10" t="s">
        <v>100</v>
      </c>
      <c r="D34" s="10" t="s">
        <v>56</v>
      </c>
      <c r="E34" s="10">
        <v>1.01218010061E11</v>
      </c>
      <c r="F34" s="10" t="s">
        <v>10</v>
      </c>
      <c r="G34" s="11" t="s">
        <v>61</v>
      </c>
      <c r="H34" s="10" t="s">
        <v>143</v>
      </c>
      <c r="I34" s="10">
        <v>5.0</v>
      </c>
      <c r="J34" s="10" t="s">
        <v>11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9" t="s">
        <v>88</v>
      </c>
      <c r="B35" s="9" t="s">
        <v>434</v>
      </c>
      <c r="C35" s="10" t="s">
        <v>435</v>
      </c>
      <c r="D35" s="10" t="s">
        <v>56</v>
      </c>
      <c r="E35" s="10">
        <v>1.01024011189E11</v>
      </c>
      <c r="F35" s="10" t="s">
        <v>10</v>
      </c>
      <c r="G35" s="11" t="s">
        <v>61</v>
      </c>
      <c r="H35" s="10" t="s">
        <v>143</v>
      </c>
      <c r="I35" s="10">
        <v>6.0</v>
      </c>
      <c r="J35" s="10" t="s">
        <v>11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9" t="s">
        <v>91</v>
      </c>
      <c r="B36" s="9" t="s">
        <v>443</v>
      </c>
      <c r="C36" s="10" t="s">
        <v>59</v>
      </c>
      <c r="D36" s="10" t="s">
        <v>56</v>
      </c>
      <c r="E36" s="10">
        <v>1.1041301031E11</v>
      </c>
      <c r="F36" s="10" t="s">
        <v>10</v>
      </c>
      <c r="G36" s="11" t="s">
        <v>61</v>
      </c>
      <c r="H36" s="10" t="s">
        <v>143</v>
      </c>
      <c r="I36" s="10">
        <v>7.0</v>
      </c>
      <c r="J36" s="10" t="s">
        <v>38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9" t="s">
        <v>94</v>
      </c>
      <c r="B37" s="9" t="s">
        <v>451</v>
      </c>
      <c r="C37" s="10" t="s">
        <v>27</v>
      </c>
      <c r="D37" s="10" t="s">
        <v>56</v>
      </c>
      <c r="E37" s="10">
        <v>1.10518010893E11</v>
      </c>
      <c r="F37" s="10" t="s">
        <v>10</v>
      </c>
      <c r="G37" s="11" t="s">
        <v>61</v>
      </c>
      <c r="H37" s="10" t="s">
        <v>143</v>
      </c>
      <c r="I37" s="10">
        <v>8.0</v>
      </c>
      <c r="J37" s="10" t="s">
        <v>11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9" t="s">
        <v>459</v>
      </c>
      <c r="B38" s="9" t="s">
        <v>460</v>
      </c>
      <c r="C38" s="10" t="s">
        <v>27</v>
      </c>
      <c r="D38" s="10" t="s">
        <v>56</v>
      </c>
      <c r="E38" s="10">
        <v>1.10227121307E11</v>
      </c>
      <c r="F38" s="10" t="s">
        <v>10</v>
      </c>
      <c r="G38" s="11" t="s">
        <v>61</v>
      </c>
      <c r="H38" s="10" t="s">
        <v>143</v>
      </c>
      <c r="I38" s="10">
        <v>9.0</v>
      </c>
      <c r="J38" s="10" t="s">
        <v>11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9" t="s">
        <v>96</v>
      </c>
      <c r="B39" s="9" t="s">
        <v>461</v>
      </c>
      <c r="C39" s="10" t="s">
        <v>27</v>
      </c>
      <c r="D39" s="10" t="s">
        <v>56</v>
      </c>
      <c r="E39" s="10">
        <v>1.10816011579E11</v>
      </c>
      <c r="F39" s="10" t="s">
        <v>10</v>
      </c>
      <c r="G39" s="11" t="s">
        <v>61</v>
      </c>
      <c r="H39" s="10" t="s">
        <v>143</v>
      </c>
      <c r="I39" s="10">
        <v>10.0</v>
      </c>
      <c r="J39" s="10" t="s">
        <v>11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9" t="s">
        <v>99</v>
      </c>
      <c r="B40" s="9" t="s">
        <v>464</v>
      </c>
      <c r="C40" s="10" t="s">
        <v>27</v>
      </c>
      <c r="D40" s="10" t="s">
        <v>56</v>
      </c>
      <c r="E40" s="10">
        <v>1.20804011319E11</v>
      </c>
      <c r="F40" s="10" t="s">
        <v>10</v>
      </c>
      <c r="G40" s="11" t="s">
        <v>61</v>
      </c>
      <c r="H40" s="10" t="s">
        <v>143</v>
      </c>
      <c r="I40" s="10">
        <v>11.0</v>
      </c>
      <c r="J40" s="10" t="s">
        <v>11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9" t="s">
        <v>102</v>
      </c>
      <c r="B41" s="9" t="s">
        <v>467</v>
      </c>
      <c r="C41" s="10" t="s">
        <v>27</v>
      </c>
      <c r="D41" s="10" t="s">
        <v>56</v>
      </c>
      <c r="E41" s="10">
        <v>1.11025010187E11</v>
      </c>
      <c r="F41" s="10" t="s">
        <v>10</v>
      </c>
      <c r="G41" s="11" t="s">
        <v>61</v>
      </c>
      <c r="H41" s="10" t="s">
        <v>143</v>
      </c>
      <c r="I41" s="10">
        <v>12.0</v>
      </c>
      <c r="J41" s="10" t="s">
        <v>11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9" t="s">
        <v>104</v>
      </c>
      <c r="B42" s="9" t="s">
        <v>472</v>
      </c>
      <c r="C42" s="10" t="s">
        <v>146</v>
      </c>
      <c r="D42" s="10" t="s">
        <v>56</v>
      </c>
      <c r="E42" s="10">
        <v>1.10701010955E11</v>
      </c>
      <c r="F42" s="10" t="s">
        <v>10</v>
      </c>
      <c r="G42" s="11" t="s">
        <v>61</v>
      </c>
      <c r="H42" s="10" t="s">
        <v>143</v>
      </c>
      <c r="I42" s="10">
        <v>13.0</v>
      </c>
      <c r="J42" s="10" t="s">
        <v>11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9" t="s">
        <v>108</v>
      </c>
      <c r="B43" s="9" t="s">
        <v>475</v>
      </c>
      <c r="C43" s="10" t="s">
        <v>203</v>
      </c>
      <c r="D43" s="10" t="s">
        <v>56</v>
      </c>
      <c r="E43" s="10">
        <v>1.00908011411E11</v>
      </c>
      <c r="F43" s="10" t="s">
        <v>10</v>
      </c>
      <c r="G43" s="11" t="s">
        <v>61</v>
      </c>
      <c r="H43" s="10" t="s">
        <v>143</v>
      </c>
      <c r="I43" s="10">
        <v>14.0</v>
      </c>
      <c r="J43" s="10" t="s">
        <v>11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9" t="s">
        <v>111</v>
      </c>
      <c r="B44" s="9" t="s">
        <v>476</v>
      </c>
      <c r="C44" s="10" t="s">
        <v>166</v>
      </c>
      <c r="D44" s="10" t="s">
        <v>56</v>
      </c>
      <c r="E44" s="10">
        <v>1.11216011123E11</v>
      </c>
      <c r="F44" s="10" t="s">
        <v>10</v>
      </c>
      <c r="G44" s="11" t="s">
        <v>61</v>
      </c>
      <c r="H44" s="10" t="s">
        <v>143</v>
      </c>
      <c r="I44" s="10">
        <v>15.0</v>
      </c>
      <c r="J44" s="10" t="s">
        <v>38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9" t="s">
        <v>113</v>
      </c>
      <c r="B45" s="9" t="s">
        <v>479</v>
      </c>
      <c r="C45" s="10" t="s">
        <v>226</v>
      </c>
      <c r="D45" s="10" t="s">
        <v>56</v>
      </c>
      <c r="E45" s="10">
        <v>1.11123010025E11</v>
      </c>
      <c r="F45" s="10" t="s">
        <v>10</v>
      </c>
      <c r="G45" s="11" t="s">
        <v>61</v>
      </c>
      <c r="H45" s="10" t="s">
        <v>143</v>
      </c>
      <c r="I45" s="10">
        <v>16.0</v>
      </c>
      <c r="J45" s="10" t="s">
        <v>11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9" t="s">
        <v>115</v>
      </c>
      <c r="B46" s="9" t="s">
        <v>480</v>
      </c>
      <c r="C46" s="10" t="s">
        <v>238</v>
      </c>
      <c r="D46" s="10" t="s">
        <v>56</v>
      </c>
      <c r="E46" s="10">
        <v>1.11020011543E11</v>
      </c>
      <c r="F46" s="10" t="s">
        <v>10</v>
      </c>
      <c r="G46" s="11" t="s">
        <v>61</v>
      </c>
      <c r="H46" s="10" t="s">
        <v>143</v>
      </c>
      <c r="I46" s="10">
        <v>17.0</v>
      </c>
      <c r="J46" s="10" t="s">
        <v>11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9" t="s">
        <v>121</v>
      </c>
      <c r="B47" s="9" t="s">
        <v>481</v>
      </c>
      <c r="C47" s="10" t="s">
        <v>48</v>
      </c>
      <c r="D47" s="10" t="s">
        <v>56</v>
      </c>
      <c r="E47" s="10">
        <v>1.01104010733E11</v>
      </c>
      <c r="F47" s="10" t="s">
        <v>10</v>
      </c>
      <c r="G47" s="11" t="s">
        <v>61</v>
      </c>
      <c r="H47" s="10" t="s">
        <v>143</v>
      </c>
      <c r="I47" s="10">
        <v>18.0</v>
      </c>
      <c r="J47" s="10" t="s">
        <v>11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9" t="s">
        <v>123</v>
      </c>
      <c r="B48" s="9" t="s">
        <v>482</v>
      </c>
      <c r="C48" s="10" t="s">
        <v>48</v>
      </c>
      <c r="D48" s="10" t="s">
        <v>56</v>
      </c>
      <c r="E48" s="10">
        <v>1.10930141393E11</v>
      </c>
      <c r="F48" s="10" t="s">
        <v>10</v>
      </c>
      <c r="G48" s="11" t="s">
        <v>61</v>
      </c>
      <c r="H48" s="10" t="s">
        <v>143</v>
      </c>
      <c r="I48" s="10">
        <v>19.0</v>
      </c>
      <c r="J48" s="10" t="s">
        <v>11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9" t="s">
        <v>127</v>
      </c>
      <c r="B49" s="9" t="s">
        <v>484</v>
      </c>
      <c r="C49" s="10" t="s">
        <v>48</v>
      </c>
      <c r="D49" s="10" t="s">
        <v>56</v>
      </c>
      <c r="E49" s="10">
        <v>1.10301010657E11</v>
      </c>
      <c r="F49" s="10" t="s">
        <v>10</v>
      </c>
      <c r="G49" s="11" t="s">
        <v>61</v>
      </c>
      <c r="H49" s="10" t="s">
        <v>143</v>
      </c>
      <c r="I49" s="10">
        <v>20.0</v>
      </c>
      <c r="J49" s="10" t="s">
        <v>11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9" t="s">
        <v>131</v>
      </c>
      <c r="B50" s="9" t="s">
        <v>490</v>
      </c>
      <c r="C50" s="10" t="s">
        <v>48</v>
      </c>
      <c r="D50" s="10" t="s">
        <v>56</v>
      </c>
      <c r="E50" s="10">
        <v>1.21231010259E11</v>
      </c>
      <c r="F50" s="10" t="s">
        <v>10</v>
      </c>
      <c r="G50" s="11" t="s">
        <v>61</v>
      </c>
      <c r="H50" s="10" t="s">
        <v>143</v>
      </c>
      <c r="I50" s="10">
        <v>21.0</v>
      </c>
      <c r="J50" s="10" t="s">
        <v>11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9" t="s">
        <v>134</v>
      </c>
      <c r="B51" s="9" t="s">
        <v>495</v>
      </c>
      <c r="C51" s="10" t="s">
        <v>48</v>
      </c>
      <c r="D51" s="10" t="s">
        <v>56</v>
      </c>
      <c r="E51" s="10">
        <v>1.00415010285E11</v>
      </c>
      <c r="F51" s="10" t="s">
        <v>10</v>
      </c>
      <c r="G51" s="11" t="s">
        <v>61</v>
      </c>
      <c r="H51" s="10" t="s">
        <v>143</v>
      </c>
      <c r="I51" s="10">
        <v>22.0</v>
      </c>
      <c r="J51" s="10" t="s">
        <v>11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9" t="s">
        <v>497</v>
      </c>
      <c r="B52" s="9" t="s">
        <v>499</v>
      </c>
      <c r="C52" s="10" t="s">
        <v>309</v>
      </c>
      <c r="D52" s="10" t="s">
        <v>56</v>
      </c>
      <c r="E52" s="10">
        <v>1.10605011173E11</v>
      </c>
      <c r="F52" s="10" t="s">
        <v>10</v>
      </c>
      <c r="G52" s="11" t="s">
        <v>61</v>
      </c>
      <c r="H52" s="10" t="s">
        <v>143</v>
      </c>
      <c r="I52" s="10">
        <v>23.0</v>
      </c>
      <c r="J52" s="10" t="s">
        <v>11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9" t="s">
        <v>504</v>
      </c>
      <c r="B53" s="9" t="s">
        <v>505</v>
      </c>
      <c r="C53" s="10" t="s">
        <v>21</v>
      </c>
      <c r="D53" s="10" t="s">
        <v>56</v>
      </c>
      <c r="E53" s="10">
        <v>1.21216011085E11</v>
      </c>
      <c r="F53" s="10" t="s">
        <v>10</v>
      </c>
      <c r="G53" s="11" t="s">
        <v>61</v>
      </c>
      <c r="H53" s="10" t="s">
        <v>143</v>
      </c>
      <c r="I53" s="10">
        <v>24.0</v>
      </c>
      <c r="J53" s="10" t="s">
        <v>11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9" t="s">
        <v>510</v>
      </c>
      <c r="B54" s="9" t="s">
        <v>511</v>
      </c>
      <c r="C54" s="10" t="s">
        <v>336</v>
      </c>
      <c r="D54" s="10" t="s">
        <v>56</v>
      </c>
      <c r="E54" s="10">
        <v>1.10111050287E11</v>
      </c>
      <c r="F54" s="10" t="s">
        <v>10</v>
      </c>
      <c r="G54" s="11" t="s">
        <v>61</v>
      </c>
      <c r="H54" s="10" t="s">
        <v>143</v>
      </c>
      <c r="I54" s="10">
        <v>25.0</v>
      </c>
      <c r="J54" s="10" t="s">
        <v>11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9" t="s">
        <v>516</v>
      </c>
      <c r="B55" s="9" t="s">
        <v>517</v>
      </c>
      <c r="C55" s="10" t="s">
        <v>16</v>
      </c>
      <c r="D55" s="10" t="s">
        <v>56</v>
      </c>
      <c r="E55" s="10">
        <v>1.10326012077E11</v>
      </c>
      <c r="F55" s="10" t="s">
        <v>10</v>
      </c>
      <c r="G55" s="11" t="s">
        <v>61</v>
      </c>
      <c r="H55" s="10" t="s">
        <v>143</v>
      </c>
      <c r="I55" s="10">
        <v>26.0</v>
      </c>
      <c r="J55" s="10" t="s">
        <v>11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9" t="s">
        <v>522</v>
      </c>
      <c r="B56" s="9" t="s">
        <v>523</v>
      </c>
      <c r="C56" s="10" t="s">
        <v>16</v>
      </c>
      <c r="D56" s="10" t="s">
        <v>56</v>
      </c>
      <c r="E56" s="10">
        <v>1.10807011083E11</v>
      </c>
      <c r="F56" s="10" t="s">
        <v>10</v>
      </c>
      <c r="G56" s="11" t="s">
        <v>61</v>
      </c>
      <c r="H56" s="10" t="s">
        <v>143</v>
      </c>
      <c r="I56" s="10">
        <v>27.0</v>
      </c>
      <c r="J56" s="10" t="s">
        <v>11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9" t="s">
        <v>526</v>
      </c>
      <c r="B57" s="9" t="s">
        <v>527</v>
      </c>
      <c r="C57" s="10" t="s">
        <v>72</v>
      </c>
      <c r="D57" s="10" t="s">
        <v>56</v>
      </c>
      <c r="E57" s="10">
        <v>1.10718140545E11</v>
      </c>
      <c r="F57" s="10" t="s">
        <v>10</v>
      </c>
      <c r="G57" s="11" t="s">
        <v>61</v>
      </c>
      <c r="H57" s="10" t="s">
        <v>175</v>
      </c>
      <c r="I57" s="10">
        <v>1.0</v>
      </c>
      <c r="J57" s="10" t="s">
        <v>11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9" t="s">
        <v>532</v>
      </c>
      <c r="B58" s="9" t="s">
        <v>533</v>
      </c>
      <c r="C58" s="10" t="s">
        <v>397</v>
      </c>
      <c r="D58" s="10" t="s">
        <v>56</v>
      </c>
      <c r="E58" s="10">
        <v>1.20322010241E11</v>
      </c>
      <c r="F58" s="10" t="s">
        <v>10</v>
      </c>
      <c r="G58" s="11" t="s">
        <v>61</v>
      </c>
      <c r="H58" s="10" t="s">
        <v>175</v>
      </c>
      <c r="I58" s="10">
        <v>2.0</v>
      </c>
      <c r="J58" s="10" t="s">
        <v>11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9" t="s">
        <v>534</v>
      </c>
      <c r="B59" s="9" t="s">
        <v>535</v>
      </c>
      <c r="C59" s="10" t="s">
        <v>82</v>
      </c>
      <c r="D59" s="10" t="s">
        <v>56</v>
      </c>
      <c r="E59" s="10">
        <v>1.01010012607E11</v>
      </c>
      <c r="F59" s="10" t="s">
        <v>10</v>
      </c>
      <c r="G59" s="11" t="s">
        <v>61</v>
      </c>
      <c r="H59" s="10" t="s">
        <v>175</v>
      </c>
      <c r="I59" s="10">
        <v>3.0</v>
      </c>
      <c r="J59" s="10" t="s">
        <v>11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9" t="s">
        <v>540</v>
      </c>
      <c r="B60" s="9" t="s">
        <v>541</v>
      </c>
      <c r="C60" s="10" t="s">
        <v>542</v>
      </c>
      <c r="D60" s="10" t="s">
        <v>56</v>
      </c>
      <c r="E60" s="10">
        <v>1.10503010495E11</v>
      </c>
      <c r="F60" s="10" t="s">
        <v>10</v>
      </c>
      <c r="G60" s="11" t="s">
        <v>61</v>
      </c>
      <c r="H60" s="10" t="s">
        <v>175</v>
      </c>
      <c r="I60" s="10">
        <v>4.0</v>
      </c>
      <c r="J60" s="10" t="s">
        <v>11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9" t="s">
        <v>545</v>
      </c>
      <c r="B61" s="9" t="s">
        <v>546</v>
      </c>
      <c r="C61" s="10" t="s">
        <v>100</v>
      </c>
      <c r="D61" s="10" t="s">
        <v>56</v>
      </c>
      <c r="E61" s="10">
        <v>1.00426010547E11</v>
      </c>
      <c r="F61" s="10" t="s">
        <v>10</v>
      </c>
      <c r="G61" s="11" t="s">
        <v>61</v>
      </c>
      <c r="H61" s="10" t="s">
        <v>175</v>
      </c>
      <c r="I61" s="10">
        <v>5.0</v>
      </c>
      <c r="J61" s="10" t="s">
        <v>11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9" t="s">
        <v>547</v>
      </c>
      <c r="B62" s="9" t="s">
        <v>548</v>
      </c>
      <c r="C62" s="10" t="s">
        <v>435</v>
      </c>
      <c r="D62" s="10" t="s">
        <v>56</v>
      </c>
      <c r="E62" s="10">
        <v>1.00219010771E11</v>
      </c>
      <c r="F62" s="10" t="s">
        <v>10</v>
      </c>
      <c r="G62" s="11" t="s">
        <v>61</v>
      </c>
      <c r="H62" s="10" t="s">
        <v>175</v>
      </c>
      <c r="I62" s="10">
        <v>6.0</v>
      </c>
      <c r="J62" s="10" t="s">
        <v>11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9" t="s">
        <v>549</v>
      </c>
      <c r="B63" s="9" t="s">
        <v>550</v>
      </c>
      <c r="C63" s="10" t="s">
        <v>59</v>
      </c>
      <c r="D63" s="10" t="s">
        <v>56</v>
      </c>
      <c r="E63" s="10">
        <v>1.10310080315E11</v>
      </c>
      <c r="F63" s="10" t="s">
        <v>10</v>
      </c>
      <c r="G63" s="11" t="s">
        <v>61</v>
      </c>
      <c r="H63" s="10" t="s">
        <v>175</v>
      </c>
      <c r="I63" s="10">
        <v>7.0</v>
      </c>
      <c r="J63" s="10" t="s">
        <v>11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9" t="s">
        <v>551</v>
      </c>
      <c r="B64" s="9" t="s">
        <v>552</v>
      </c>
      <c r="C64" s="10" t="s">
        <v>27</v>
      </c>
      <c r="D64" s="10" t="s">
        <v>56</v>
      </c>
      <c r="E64" s="10">
        <v>1.10506010837E11</v>
      </c>
      <c r="F64" s="10" t="s">
        <v>10</v>
      </c>
      <c r="G64" s="11" t="s">
        <v>61</v>
      </c>
      <c r="H64" s="10" t="s">
        <v>175</v>
      </c>
      <c r="I64" s="10">
        <v>8.0</v>
      </c>
      <c r="J64" s="10" t="s">
        <v>11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9" t="s">
        <v>553</v>
      </c>
      <c r="B65" s="9" t="s">
        <v>554</v>
      </c>
      <c r="C65" s="10" t="s">
        <v>27</v>
      </c>
      <c r="D65" s="10" t="s">
        <v>56</v>
      </c>
      <c r="E65" s="10">
        <v>1.10114011929E11</v>
      </c>
      <c r="F65" s="10" t="s">
        <v>10</v>
      </c>
      <c r="G65" s="11" t="s">
        <v>61</v>
      </c>
      <c r="H65" s="10" t="s">
        <v>175</v>
      </c>
      <c r="I65" s="10">
        <v>9.0</v>
      </c>
      <c r="J65" s="10" t="s">
        <v>11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9" t="s">
        <v>555</v>
      </c>
      <c r="B66" s="9" t="s">
        <v>556</v>
      </c>
      <c r="C66" s="10" t="s">
        <v>27</v>
      </c>
      <c r="D66" s="10" t="s">
        <v>56</v>
      </c>
      <c r="E66" s="10">
        <v>1.21005010349E11</v>
      </c>
      <c r="F66" s="10" t="s">
        <v>10</v>
      </c>
      <c r="G66" s="11" t="s">
        <v>61</v>
      </c>
      <c r="H66" s="10" t="s">
        <v>175</v>
      </c>
      <c r="I66" s="10">
        <v>10.0</v>
      </c>
      <c r="J66" s="10" t="s">
        <v>11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9" t="s">
        <v>557</v>
      </c>
      <c r="B67" s="9" t="s">
        <v>558</v>
      </c>
      <c r="C67" s="10" t="s">
        <v>27</v>
      </c>
      <c r="D67" s="10" t="s">
        <v>56</v>
      </c>
      <c r="E67" s="10">
        <v>1.11210010621E11</v>
      </c>
      <c r="F67" s="10" t="s">
        <v>10</v>
      </c>
      <c r="G67" s="11" t="s">
        <v>61</v>
      </c>
      <c r="H67" s="10" t="s">
        <v>175</v>
      </c>
      <c r="I67" s="10">
        <v>11.0</v>
      </c>
      <c r="J67" s="10" t="s">
        <v>11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9" t="s">
        <v>559</v>
      </c>
      <c r="B68" s="9" t="s">
        <v>560</v>
      </c>
      <c r="C68" s="10" t="s">
        <v>125</v>
      </c>
      <c r="D68" s="10" t="s">
        <v>56</v>
      </c>
      <c r="E68" s="10">
        <v>1.21130011703E11</v>
      </c>
      <c r="F68" s="10" t="s">
        <v>10</v>
      </c>
      <c r="G68" s="11" t="s">
        <v>61</v>
      </c>
      <c r="H68" s="10" t="s">
        <v>175</v>
      </c>
      <c r="I68" s="10">
        <v>12.0</v>
      </c>
      <c r="J68" s="10" t="s">
        <v>11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9" t="s">
        <v>561</v>
      </c>
      <c r="B69" s="9" t="s">
        <v>562</v>
      </c>
      <c r="C69" s="10" t="s">
        <v>146</v>
      </c>
      <c r="D69" s="10" t="s">
        <v>56</v>
      </c>
      <c r="E69" s="10">
        <v>1.10815050381E11</v>
      </c>
      <c r="F69" s="10" t="s">
        <v>10</v>
      </c>
      <c r="G69" s="11" t="s">
        <v>61</v>
      </c>
      <c r="H69" s="10" t="s">
        <v>175</v>
      </c>
      <c r="I69" s="10">
        <v>13.0</v>
      </c>
      <c r="J69" s="10" t="s">
        <v>11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9" t="s">
        <v>563</v>
      </c>
      <c r="B70" s="9" t="s">
        <v>564</v>
      </c>
      <c r="C70" s="10" t="s">
        <v>203</v>
      </c>
      <c r="D70" s="10" t="s">
        <v>56</v>
      </c>
      <c r="E70" s="10">
        <v>1.10913010957E11</v>
      </c>
      <c r="F70" s="10" t="s">
        <v>10</v>
      </c>
      <c r="G70" s="11" t="s">
        <v>61</v>
      </c>
      <c r="H70" s="10" t="s">
        <v>175</v>
      </c>
      <c r="I70" s="10">
        <v>14.0</v>
      </c>
      <c r="J70" s="10" t="s">
        <v>11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9" t="s">
        <v>565</v>
      </c>
      <c r="B71" s="9" t="s">
        <v>566</v>
      </c>
      <c r="C71" s="10" t="s">
        <v>226</v>
      </c>
      <c r="D71" s="10" t="s">
        <v>56</v>
      </c>
      <c r="E71" s="10">
        <v>1.20529011663E11</v>
      </c>
      <c r="F71" s="10" t="s">
        <v>10</v>
      </c>
      <c r="G71" s="11" t="s">
        <v>61</v>
      </c>
      <c r="H71" s="10" t="s">
        <v>175</v>
      </c>
      <c r="I71" s="10">
        <v>15.0</v>
      </c>
      <c r="J71" s="10" t="s">
        <v>11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9" t="s">
        <v>567</v>
      </c>
      <c r="B72" s="9" t="s">
        <v>568</v>
      </c>
      <c r="C72" s="10" t="s">
        <v>238</v>
      </c>
      <c r="D72" s="10" t="s">
        <v>56</v>
      </c>
      <c r="E72" s="10">
        <v>1.00417011695E11</v>
      </c>
      <c r="F72" s="10" t="s">
        <v>10</v>
      </c>
      <c r="G72" s="11" t="s">
        <v>61</v>
      </c>
      <c r="H72" s="10" t="s">
        <v>175</v>
      </c>
      <c r="I72" s="10">
        <v>16.0</v>
      </c>
      <c r="J72" s="10" t="s">
        <v>11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9" t="s">
        <v>570</v>
      </c>
      <c r="B73" s="9" t="s">
        <v>572</v>
      </c>
      <c r="C73" s="10" t="s">
        <v>48</v>
      </c>
      <c r="D73" s="10" t="s">
        <v>56</v>
      </c>
      <c r="E73" s="10">
        <v>1.10324010967E11</v>
      </c>
      <c r="F73" s="10" t="s">
        <v>10</v>
      </c>
      <c r="G73" s="11" t="s">
        <v>61</v>
      </c>
      <c r="H73" s="10" t="s">
        <v>175</v>
      </c>
      <c r="I73" s="10">
        <v>17.0</v>
      </c>
      <c r="J73" s="10" t="s">
        <v>11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9" t="s">
        <v>578</v>
      </c>
      <c r="B74" s="9" t="s">
        <v>579</v>
      </c>
      <c r="C74" s="10" t="s">
        <v>48</v>
      </c>
      <c r="D74" s="10" t="s">
        <v>56</v>
      </c>
      <c r="E74" s="10">
        <v>1.00121010327E11</v>
      </c>
      <c r="F74" s="10" t="s">
        <v>10</v>
      </c>
      <c r="G74" s="11" t="s">
        <v>61</v>
      </c>
      <c r="H74" s="10" t="s">
        <v>175</v>
      </c>
      <c r="I74" s="10">
        <v>18.0</v>
      </c>
      <c r="J74" s="10" t="s">
        <v>11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9" t="s">
        <v>580</v>
      </c>
      <c r="B75" s="9" t="s">
        <v>581</v>
      </c>
      <c r="C75" s="10" t="s">
        <v>48</v>
      </c>
      <c r="D75" s="10" t="s">
        <v>56</v>
      </c>
      <c r="E75" s="10">
        <v>1.20731011245E11</v>
      </c>
      <c r="F75" s="10" t="s">
        <v>10</v>
      </c>
      <c r="G75" s="11" t="s">
        <v>61</v>
      </c>
      <c r="H75" s="10" t="s">
        <v>175</v>
      </c>
      <c r="I75" s="10">
        <v>19.0</v>
      </c>
      <c r="J75" s="10" t="s">
        <v>11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9" t="s">
        <v>582</v>
      </c>
      <c r="B76" s="9" t="s">
        <v>583</v>
      </c>
      <c r="C76" s="10" t="s">
        <v>48</v>
      </c>
      <c r="D76" s="10" t="s">
        <v>56</v>
      </c>
      <c r="E76" s="10">
        <v>1.10124010655E11</v>
      </c>
      <c r="F76" s="10" t="s">
        <v>10</v>
      </c>
      <c r="G76" s="11" t="s">
        <v>61</v>
      </c>
      <c r="H76" s="10" t="s">
        <v>175</v>
      </c>
      <c r="I76" s="10">
        <v>20.0</v>
      </c>
      <c r="J76" s="10" t="s">
        <v>11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9" t="s">
        <v>584</v>
      </c>
      <c r="B77" s="9" t="s">
        <v>585</v>
      </c>
      <c r="C77" s="10" t="s">
        <v>48</v>
      </c>
      <c r="D77" s="10" t="s">
        <v>56</v>
      </c>
      <c r="E77" s="10">
        <v>1.20915030213E11</v>
      </c>
      <c r="F77" s="10" t="s">
        <v>10</v>
      </c>
      <c r="G77" s="11" t="s">
        <v>61</v>
      </c>
      <c r="H77" s="10" t="s">
        <v>175</v>
      </c>
      <c r="I77" s="10">
        <v>21.0</v>
      </c>
      <c r="J77" s="10" t="s">
        <v>11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9" t="s">
        <v>586</v>
      </c>
      <c r="B78" s="9" t="s">
        <v>587</v>
      </c>
      <c r="C78" s="10" t="s">
        <v>55</v>
      </c>
      <c r="D78" s="10" t="s">
        <v>56</v>
      </c>
      <c r="E78" s="10">
        <v>1.10615010449E11</v>
      </c>
      <c r="F78" s="10" t="s">
        <v>10</v>
      </c>
      <c r="G78" s="11" t="s">
        <v>61</v>
      </c>
      <c r="H78" s="10" t="s">
        <v>175</v>
      </c>
      <c r="I78" s="10">
        <v>22.0</v>
      </c>
      <c r="J78" s="10" t="s">
        <v>38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9" t="s">
        <v>588</v>
      </c>
      <c r="B79" s="9" t="s">
        <v>589</v>
      </c>
      <c r="C79" s="10" t="s">
        <v>323</v>
      </c>
      <c r="D79" s="10" t="s">
        <v>56</v>
      </c>
      <c r="E79" s="10">
        <v>1.10102010283E11</v>
      </c>
      <c r="F79" s="10" t="s">
        <v>10</v>
      </c>
      <c r="G79" s="11" t="s">
        <v>61</v>
      </c>
      <c r="H79" s="10" t="s">
        <v>175</v>
      </c>
      <c r="I79" s="10">
        <v>23.0</v>
      </c>
      <c r="J79" s="10" t="s">
        <v>11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9" t="s">
        <v>590</v>
      </c>
      <c r="B80" s="9" t="s">
        <v>591</v>
      </c>
      <c r="C80" s="10" t="s">
        <v>21</v>
      </c>
      <c r="D80" s="10" t="s">
        <v>56</v>
      </c>
      <c r="E80" s="10">
        <v>1.20116010865E11</v>
      </c>
      <c r="F80" s="10" t="s">
        <v>10</v>
      </c>
      <c r="G80" s="11" t="s">
        <v>61</v>
      </c>
      <c r="H80" s="10" t="s">
        <v>175</v>
      </c>
      <c r="I80" s="10">
        <v>24.0</v>
      </c>
      <c r="J80" s="10" t="s">
        <v>38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9" t="s">
        <v>592</v>
      </c>
      <c r="B81" s="9" t="s">
        <v>593</v>
      </c>
      <c r="C81" s="10" t="s">
        <v>349</v>
      </c>
      <c r="D81" s="10" t="s">
        <v>56</v>
      </c>
      <c r="E81" s="10">
        <v>1.21023010289E11</v>
      </c>
      <c r="F81" s="10" t="s">
        <v>10</v>
      </c>
      <c r="G81" s="11" t="s">
        <v>61</v>
      </c>
      <c r="H81" s="10" t="s">
        <v>175</v>
      </c>
      <c r="I81" s="10">
        <v>25.0</v>
      </c>
      <c r="J81" s="10" t="s">
        <v>11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9" t="s">
        <v>594</v>
      </c>
      <c r="B82" s="9" t="s">
        <v>595</v>
      </c>
      <c r="C82" s="10" t="s">
        <v>16</v>
      </c>
      <c r="D82" s="10" t="s">
        <v>56</v>
      </c>
      <c r="E82" s="10">
        <v>1.10607011257E11</v>
      </c>
      <c r="F82" s="10" t="s">
        <v>10</v>
      </c>
      <c r="G82" s="11" t="s">
        <v>61</v>
      </c>
      <c r="H82" s="10" t="s">
        <v>175</v>
      </c>
      <c r="I82" s="10">
        <v>26.0</v>
      </c>
      <c r="J82" s="10" t="s">
        <v>11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9" t="s">
        <v>596</v>
      </c>
      <c r="B83" s="9" t="s">
        <v>597</v>
      </c>
      <c r="C83" s="10" t="s">
        <v>16</v>
      </c>
      <c r="D83" s="10" t="s">
        <v>56</v>
      </c>
      <c r="E83" s="10">
        <v>1.20404011117E11</v>
      </c>
      <c r="F83" s="10" t="s">
        <v>10</v>
      </c>
      <c r="G83" s="11" t="s">
        <v>61</v>
      </c>
      <c r="H83" s="10" t="s">
        <v>175</v>
      </c>
      <c r="I83" s="10">
        <v>27.0</v>
      </c>
      <c r="J83" s="10" t="s">
        <v>11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9" t="s">
        <v>598</v>
      </c>
      <c r="B84" s="9" t="s">
        <v>599</v>
      </c>
      <c r="C84" s="10" t="s">
        <v>140</v>
      </c>
      <c r="D84" s="10" t="s">
        <v>56</v>
      </c>
      <c r="E84" s="10">
        <v>1.00701011318E11</v>
      </c>
      <c r="F84" s="10" t="s">
        <v>18</v>
      </c>
      <c r="G84" s="11" t="s">
        <v>61</v>
      </c>
      <c r="H84" s="10" t="s">
        <v>43</v>
      </c>
      <c r="I84" s="10">
        <v>1.0</v>
      </c>
      <c r="J84" s="10" t="s">
        <v>11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9" t="s">
        <v>600</v>
      </c>
      <c r="B85" s="9" t="s">
        <v>601</v>
      </c>
      <c r="C85" s="10" t="s">
        <v>140</v>
      </c>
      <c r="D85" s="10" t="s">
        <v>56</v>
      </c>
      <c r="E85" s="10">
        <v>1.00204011464E11</v>
      </c>
      <c r="F85" s="10" t="s">
        <v>18</v>
      </c>
      <c r="G85" s="11" t="s">
        <v>61</v>
      </c>
      <c r="H85" s="10" t="s">
        <v>43</v>
      </c>
      <c r="I85" s="10">
        <v>2.0</v>
      </c>
      <c r="J85" s="10" t="s">
        <v>11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9" t="s">
        <v>602</v>
      </c>
      <c r="B86" s="9" t="s">
        <v>603</v>
      </c>
      <c r="C86" s="10" t="s">
        <v>72</v>
      </c>
      <c r="D86" s="10" t="s">
        <v>56</v>
      </c>
      <c r="E86" s="10">
        <v>1.10217010128E11</v>
      </c>
      <c r="F86" s="10" t="s">
        <v>18</v>
      </c>
      <c r="G86" s="11" t="s">
        <v>61</v>
      </c>
      <c r="H86" s="10" t="s">
        <v>43</v>
      </c>
      <c r="I86" s="10">
        <v>3.0</v>
      </c>
      <c r="J86" s="10" t="s">
        <v>11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9" t="s">
        <v>604</v>
      </c>
      <c r="B87" s="9" t="s">
        <v>605</v>
      </c>
      <c r="C87" s="10" t="s">
        <v>397</v>
      </c>
      <c r="D87" s="10" t="s">
        <v>56</v>
      </c>
      <c r="E87" s="10">
        <v>1.1103101081E11</v>
      </c>
      <c r="F87" s="10" t="s">
        <v>18</v>
      </c>
      <c r="G87" s="11" t="s">
        <v>61</v>
      </c>
      <c r="H87" s="10" t="s">
        <v>43</v>
      </c>
      <c r="I87" s="10">
        <v>4.0</v>
      </c>
      <c r="J87" s="10" t="s">
        <v>11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9" t="s">
        <v>606</v>
      </c>
      <c r="B88" s="9" t="s">
        <v>607</v>
      </c>
      <c r="C88" s="10" t="s">
        <v>59</v>
      </c>
      <c r="D88" s="10" t="s">
        <v>56</v>
      </c>
      <c r="E88" s="10">
        <v>1.1021101053E11</v>
      </c>
      <c r="F88" s="10" t="s">
        <v>18</v>
      </c>
      <c r="G88" s="11" t="s">
        <v>61</v>
      </c>
      <c r="H88" s="10" t="s">
        <v>43</v>
      </c>
      <c r="I88" s="10">
        <v>5.0</v>
      </c>
      <c r="J88" s="10" t="s">
        <v>11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9" t="s">
        <v>608</v>
      </c>
      <c r="B89" s="9" t="s">
        <v>609</v>
      </c>
      <c r="C89" s="10" t="s">
        <v>254</v>
      </c>
      <c r="D89" s="10" t="s">
        <v>56</v>
      </c>
      <c r="E89" s="10">
        <v>1.20401010346E11</v>
      </c>
      <c r="F89" s="10" t="s">
        <v>18</v>
      </c>
      <c r="G89" s="11" t="s">
        <v>61</v>
      </c>
      <c r="H89" s="10" t="s">
        <v>43</v>
      </c>
      <c r="I89" s="10">
        <v>6.0</v>
      </c>
      <c r="J89" s="10" t="s">
        <v>38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9" t="s">
        <v>610</v>
      </c>
      <c r="B90" s="9" t="s">
        <v>611</v>
      </c>
      <c r="C90" s="10" t="s">
        <v>254</v>
      </c>
      <c r="D90" s="10" t="s">
        <v>56</v>
      </c>
      <c r="E90" s="10">
        <v>1.1042901164E11</v>
      </c>
      <c r="F90" s="10" t="s">
        <v>18</v>
      </c>
      <c r="G90" s="11" t="s">
        <v>61</v>
      </c>
      <c r="H90" s="10" t="s">
        <v>43</v>
      </c>
      <c r="I90" s="10">
        <v>7.0</v>
      </c>
      <c r="J90" s="10" t="s">
        <v>38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9" t="s">
        <v>612</v>
      </c>
      <c r="B91" s="9" t="s">
        <v>613</v>
      </c>
      <c r="C91" s="10" t="s">
        <v>27</v>
      </c>
      <c r="D91" s="10" t="s">
        <v>56</v>
      </c>
      <c r="E91" s="10">
        <v>1.10228010908E11</v>
      </c>
      <c r="F91" s="10" t="s">
        <v>18</v>
      </c>
      <c r="G91" s="11" t="s">
        <v>61</v>
      </c>
      <c r="H91" s="10" t="s">
        <v>43</v>
      </c>
      <c r="I91" s="10">
        <v>8.0</v>
      </c>
      <c r="J91" s="10" t="s">
        <v>11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9" t="s">
        <v>614</v>
      </c>
      <c r="B92" s="9" t="s">
        <v>615</v>
      </c>
      <c r="C92" s="10" t="s">
        <v>146</v>
      </c>
      <c r="D92" s="10" t="s">
        <v>56</v>
      </c>
      <c r="E92" s="10">
        <v>1.2082704012E11</v>
      </c>
      <c r="F92" s="10" t="s">
        <v>18</v>
      </c>
      <c r="G92" s="11" t="s">
        <v>61</v>
      </c>
      <c r="H92" s="10" t="s">
        <v>43</v>
      </c>
      <c r="I92" s="10">
        <v>9.0</v>
      </c>
      <c r="J92" s="10" t="s">
        <v>11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9" t="s">
        <v>616</v>
      </c>
      <c r="B93" s="9" t="s">
        <v>617</v>
      </c>
      <c r="C93" s="10" t="s">
        <v>146</v>
      </c>
      <c r="D93" s="10" t="s">
        <v>56</v>
      </c>
      <c r="E93" s="10">
        <v>1.21221011266E11</v>
      </c>
      <c r="F93" s="10" t="s">
        <v>18</v>
      </c>
      <c r="G93" s="11" t="s">
        <v>61</v>
      </c>
      <c r="H93" s="10" t="s">
        <v>43</v>
      </c>
      <c r="I93" s="10">
        <v>10.0</v>
      </c>
      <c r="J93" s="10" t="s">
        <v>11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9" t="s">
        <v>618</v>
      </c>
      <c r="B94" s="9" t="s">
        <v>619</v>
      </c>
      <c r="C94" s="10" t="s">
        <v>146</v>
      </c>
      <c r="D94" s="10" t="s">
        <v>56</v>
      </c>
      <c r="E94" s="10">
        <v>1.20113010464E11</v>
      </c>
      <c r="F94" s="10" t="s">
        <v>18</v>
      </c>
      <c r="G94" s="11" t="s">
        <v>61</v>
      </c>
      <c r="H94" s="10" t="s">
        <v>43</v>
      </c>
      <c r="I94" s="10">
        <v>11.0</v>
      </c>
      <c r="J94" s="10" t="s">
        <v>11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9" t="s">
        <v>620</v>
      </c>
      <c r="B95" s="9" t="s">
        <v>621</v>
      </c>
      <c r="C95" s="10" t="s">
        <v>146</v>
      </c>
      <c r="D95" s="10" t="s">
        <v>56</v>
      </c>
      <c r="E95" s="10">
        <v>1.21114010313E11</v>
      </c>
      <c r="F95" s="10" t="s">
        <v>18</v>
      </c>
      <c r="G95" s="11" t="s">
        <v>61</v>
      </c>
      <c r="H95" s="10" t="s">
        <v>43</v>
      </c>
      <c r="I95" s="10">
        <v>12.0</v>
      </c>
      <c r="J95" s="10" t="s">
        <v>11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9" t="s">
        <v>622</v>
      </c>
      <c r="B96" s="9" t="s">
        <v>623</v>
      </c>
      <c r="C96" s="10" t="s">
        <v>166</v>
      </c>
      <c r="D96" s="10" t="s">
        <v>56</v>
      </c>
      <c r="E96" s="10">
        <v>1.11022010018E11</v>
      </c>
      <c r="F96" s="10" t="s">
        <v>18</v>
      </c>
      <c r="G96" s="11" t="s">
        <v>61</v>
      </c>
      <c r="H96" s="10" t="s">
        <v>43</v>
      </c>
      <c r="I96" s="10">
        <v>13.0</v>
      </c>
      <c r="J96" s="10" t="s">
        <v>11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9" t="s">
        <v>624</v>
      </c>
      <c r="B97" s="9" t="s">
        <v>625</v>
      </c>
      <c r="C97" s="10" t="s">
        <v>226</v>
      </c>
      <c r="D97" s="10" t="s">
        <v>56</v>
      </c>
      <c r="E97" s="10">
        <v>1.10826010668E11</v>
      </c>
      <c r="F97" s="10" t="s">
        <v>18</v>
      </c>
      <c r="G97" s="11" t="s">
        <v>61</v>
      </c>
      <c r="H97" s="10" t="s">
        <v>43</v>
      </c>
      <c r="I97" s="10">
        <v>14.0</v>
      </c>
      <c r="J97" s="10" t="s">
        <v>11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9" t="s">
        <v>626</v>
      </c>
      <c r="B98" s="9" t="s">
        <v>627</v>
      </c>
      <c r="C98" s="10" t="s">
        <v>55</v>
      </c>
      <c r="D98" s="10" t="s">
        <v>56</v>
      </c>
      <c r="E98" s="10">
        <v>1.20220010144E11</v>
      </c>
      <c r="F98" s="10" t="s">
        <v>18</v>
      </c>
      <c r="G98" s="11" t="s">
        <v>61</v>
      </c>
      <c r="H98" s="10" t="s">
        <v>43</v>
      </c>
      <c r="I98" s="10">
        <v>15.0</v>
      </c>
      <c r="J98" s="10" t="s">
        <v>38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9" t="s">
        <v>628</v>
      </c>
      <c r="B99" s="9" t="s">
        <v>629</v>
      </c>
      <c r="C99" s="10" t="s">
        <v>55</v>
      </c>
      <c r="D99" s="10" t="s">
        <v>56</v>
      </c>
      <c r="E99" s="10">
        <v>1.21225010404E11</v>
      </c>
      <c r="F99" s="10" t="s">
        <v>18</v>
      </c>
      <c r="G99" s="11" t="s">
        <v>61</v>
      </c>
      <c r="H99" s="10" t="s">
        <v>43</v>
      </c>
      <c r="I99" s="10">
        <v>16.0</v>
      </c>
      <c r="J99" s="10" t="s">
        <v>11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9" t="s">
        <v>630</v>
      </c>
      <c r="B100" s="9" t="s">
        <v>631</v>
      </c>
      <c r="C100" s="10" t="s">
        <v>309</v>
      </c>
      <c r="D100" s="10" t="s">
        <v>56</v>
      </c>
      <c r="E100" s="10">
        <v>1.10924010944E11</v>
      </c>
      <c r="F100" s="10" t="s">
        <v>18</v>
      </c>
      <c r="G100" s="11" t="s">
        <v>61</v>
      </c>
      <c r="H100" s="10" t="s">
        <v>43</v>
      </c>
      <c r="I100" s="10">
        <v>17.0</v>
      </c>
      <c r="J100" s="10" t="s">
        <v>11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9" t="s">
        <v>633</v>
      </c>
      <c r="B101" s="9" t="s">
        <v>634</v>
      </c>
      <c r="C101" s="10" t="s">
        <v>323</v>
      </c>
      <c r="D101" s="10" t="s">
        <v>56</v>
      </c>
      <c r="E101" s="10">
        <v>1.2061103015E11</v>
      </c>
      <c r="F101" s="10" t="s">
        <v>18</v>
      </c>
      <c r="G101" s="11" t="s">
        <v>61</v>
      </c>
      <c r="H101" s="10" t="s">
        <v>43</v>
      </c>
      <c r="I101" s="10">
        <v>18.0</v>
      </c>
      <c r="J101" s="10" t="s">
        <v>11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9" t="s">
        <v>635</v>
      </c>
      <c r="B102" s="9" t="s">
        <v>636</v>
      </c>
      <c r="C102" s="10" t="s">
        <v>336</v>
      </c>
      <c r="D102" s="10" t="s">
        <v>56</v>
      </c>
      <c r="E102" s="10">
        <v>1.20718010256E11</v>
      </c>
      <c r="F102" s="10" t="s">
        <v>18</v>
      </c>
      <c r="G102" s="11" t="s">
        <v>61</v>
      </c>
      <c r="H102" s="10" t="s">
        <v>43</v>
      </c>
      <c r="I102" s="10">
        <v>19.0</v>
      </c>
      <c r="J102" s="10" t="s">
        <v>11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9" t="s">
        <v>637</v>
      </c>
      <c r="B103" s="9" t="s">
        <v>638</v>
      </c>
      <c r="C103" s="10" t="s">
        <v>349</v>
      </c>
      <c r="D103" s="10" t="s">
        <v>56</v>
      </c>
      <c r="E103" s="10">
        <v>1.01213011612E11</v>
      </c>
      <c r="F103" s="10" t="s">
        <v>18</v>
      </c>
      <c r="G103" s="11" t="s">
        <v>61</v>
      </c>
      <c r="H103" s="10" t="s">
        <v>43</v>
      </c>
      <c r="I103" s="10">
        <v>20.0</v>
      </c>
      <c r="J103" s="10" t="s">
        <v>11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9" t="s">
        <v>639</v>
      </c>
      <c r="B104" s="9" t="s">
        <v>640</v>
      </c>
      <c r="C104" s="10" t="s">
        <v>16</v>
      </c>
      <c r="D104" s="10" t="s">
        <v>56</v>
      </c>
      <c r="E104" s="10">
        <v>1.102120115E11</v>
      </c>
      <c r="F104" s="10" t="s">
        <v>18</v>
      </c>
      <c r="G104" s="11" t="s">
        <v>61</v>
      </c>
      <c r="H104" s="10" t="s">
        <v>43</v>
      </c>
      <c r="I104" s="10">
        <v>21.0</v>
      </c>
      <c r="J104" s="10" t="s">
        <v>11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9" t="s">
        <v>641</v>
      </c>
      <c r="B105" s="9" t="s">
        <v>642</v>
      </c>
      <c r="C105" s="10" t="s">
        <v>140</v>
      </c>
      <c r="D105" s="10" t="s">
        <v>56</v>
      </c>
      <c r="E105" s="10">
        <v>1.00321010882E11</v>
      </c>
      <c r="F105" s="10" t="s">
        <v>18</v>
      </c>
      <c r="G105" s="11" t="s">
        <v>61</v>
      </c>
      <c r="H105" s="10" t="s">
        <v>143</v>
      </c>
      <c r="I105" s="10">
        <v>1.0</v>
      </c>
      <c r="J105" s="10" t="s">
        <v>11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9" t="s">
        <v>643</v>
      </c>
      <c r="B106" s="9" t="s">
        <v>644</v>
      </c>
      <c r="C106" s="10" t="s">
        <v>50</v>
      </c>
      <c r="D106" s="10" t="s">
        <v>56</v>
      </c>
      <c r="E106" s="10">
        <v>1.10508010348E11</v>
      </c>
      <c r="F106" s="10" t="s">
        <v>18</v>
      </c>
      <c r="G106" s="11" t="s">
        <v>61</v>
      </c>
      <c r="H106" s="10" t="s">
        <v>143</v>
      </c>
      <c r="I106" s="10">
        <v>2.0</v>
      </c>
      <c r="J106" s="10" t="s">
        <v>11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9" t="s">
        <v>645</v>
      </c>
      <c r="B107" s="9" t="s">
        <v>647</v>
      </c>
      <c r="C107" s="10" t="s">
        <v>72</v>
      </c>
      <c r="D107" s="10" t="s">
        <v>56</v>
      </c>
      <c r="E107" s="10">
        <v>1.10226010656E11</v>
      </c>
      <c r="F107" s="10" t="s">
        <v>18</v>
      </c>
      <c r="G107" s="11" t="s">
        <v>61</v>
      </c>
      <c r="H107" s="10" t="s">
        <v>143</v>
      </c>
      <c r="I107" s="10">
        <v>3.0</v>
      </c>
      <c r="J107" s="10" t="s">
        <v>11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9" t="s">
        <v>648</v>
      </c>
      <c r="B108" s="9" t="s">
        <v>649</v>
      </c>
      <c r="C108" s="10" t="s">
        <v>435</v>
      </c>
      <c r="D108" s="10" t="s">
        <v>56</v>
      </c>
      <c r="E108" s="10">
        <v>1.10813010044E11</v>
      </c>
      <c r="F108" s="10" t="s">
        <v>18</v>
      </c>
      <c r="G108" s="11" t="s">
        <v>61</v>
      </c>
      <c r="H108" s="10" t="s">
        <v>143</v>
      </c>
      <c r="I108" s="10">
        <v>4.0</v>
      </c>
      <c r="J108" s="10" t="s">
        <v>11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9" t="s">
        <v>652</v>
      </c>
      <c r="B109" s="9" t="s">
        <v>653</v>
      </c>
      <c r="C109" s="10" t="s">
        <v>254</v>
      </c>
      <c r="D109" s="10" t="s">
        <v>56</v>
      </c>
      <c r="E109" s="10">
        <v>1.10903040044E11</v>
      </c>
      <c r="F109" s="10" t="s">
        <v>18</v>
      </c>
      <c r="G109" s="11" t="s">
        <v>61</v>
      </c>
      <c r="H109" s="10" t="s">
        <v>143</v>
      </c>
      <c r="I109" s="10">
        <v>5.0</v>
      </c>
      <c r="J109" s="10" t="s">
        <v>38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9" t="s">
        <v>654</v>
      </c>
      <c r="B110" s="9" t="s">
        <v>655</v>
      </c>
      <c r="C110" s="10" t="s">
        <v>254</v>
      </c>
      <c r="D110" s="10" t="s">
        <v>56</v>
      </c>
      <c r="E110" s="10">
        <v>1.20216011216E11</v>
      </c>
      <c r="F110" s="10" t="s">
        <v>18</v>
      </c>
      <c r="G110" s="11" t="s">
        <v>61</v>
      </c>
      <c r="H110" s="10" t="s">
        <v>143</v>
      </c>
      <c r="I110" s="10">
        <v>6.0</v>
      </c>
      <c r="J110" s="10" t="s">
        <v>38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9" t="s">
        <v>657</v>
      </c>
      <c r="B111" s="9" t="s">
        <v>658</v>
      </c>
      <c r="C111" s="10" t="s">
        <v>132</v>
      </c>
      <c r="D111" s="10" t="s">
        <v>56</v>
      </c>
      <c r="E111" s="10">
        <v>1.0052410188E11</v>
      </c>
      <c r="F111" s="10" t="s">
        <v>18</v>
      </c>
      <c r="G111" s="11" t="s">
        <v>61</v>
      </c>
      <c r="H111" s="10" t="s">
        <v>143</v>
      </c>
      <c r="I111" s="10">
        <v>7.0</v>
      </c>
      <c r="J111" s="10" t="s">
        <v>11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9" t="s">
        <v>661</v>
      </c>
      <c r="B112" s="9" t="s">
        <v>662</v>
      </c>
      <c r="C112" s="10" t="s">
        <v>125</v>
      </c>
      <c r="D112" s="10" t="s">
        <v>56</v>
      </c>
      <c r="E112" s="10">
        <v>1.10529020034E11</v>
      </c>
      <c r="F112" s="10" t="s">
        <v>18</v>
      </c>
      <c r="G112" s="11" t="s">
        <v>61</v>
      </c>
      <c r="H112" s="10" t="s">
        <v>143</v>
      </c>
      <c r="I112" s="10">
        <v>8.0</v>
      </c>
      <c r="J112" s="10" t="s">
        <v>38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9" t="s">
        <v>664</v>
      </c>
      <c r="B113" s="9" t="s">
        <v>665</v>
      </c>
      <c r="C113" s="10" t="s">
        <v>146</v>
      </c>
      <c r="D113" s="10" t="s">
        <v>56</v>
      </c>
      <c r="E113" s="10">
        <v>1.20915011012E11</v>
      </c>
      <c r="F113" s="10" t="s">
        <v>18</v>
      </c>
      <c r="G113" s="11" t="s">
        <v>61</v>
      </c>
      <c r="H113" s="10" t="s">
        <v>143</v>
      </c>
      <c r="I113" s="10">
        <v>9.0</v>
      </c>
      <c r="J113" s="10" t="s">
        <v>11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9" t="s">
        <v>668</v>
      </c>
      <c r="B114" s="9" t="s">
        <v>669</v>
      </c>
      <c r="C114" s="10" t="s">
        <v>146</v>
      </c>
      <c r="D114" s="10" t="s">
        <v>56</v>
      </c>
      <c r="E114" s="10">
        <v>1.10114010942E11</v>
      </c>
      <c r="F114" s="10" t="s">
        <v>18</v>
      </c>
      <c r="G114" s="11" t="s">
        <v>61</v>
      </c>
      <c r="H114" s="10" t="s">
        <v>143</v>
      </c>
      <c r="I114" s="10">
        <v>10.0</v>
      </c>
      <c r="J114" s="10" t="s">
        <v>11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9" t="s">
        <v>670</v>
      </c>
      <c r="B115" s="9" t="s">
        <v>671</v>
      </c>
      <c r="C115" s="10" t="s">
        <v>146</v>
      </c>
      <c r="D115" s="10" t="s">
        <v>56</v>
      </c>
      <c r="E115" s="10">
        <v>1.21014011466E11</v>
      </c>
      <c r="F115" s="10" t="s">
        <v>18</v>
      </c>
      <c r="G115" s="11" t="s">
        <v>61</v>
      </c>
      <c r="H115" s="10" t="s">
        <v>143</v>
      </c>
      <c r="I115" s="10">
        <v>11.0</v>
      </c>
      <c r="J115" s="10" t="s">
        <v>11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9" t="s">
        <v>672</v>
      </c>
      <c r="B116" s="9" t="s">
        <v>673</v>
      </c>
      <c r="C116" s="10" t="s">
        <v>203</v>
      </c>
      <c r="D116" s="10" t="s">
        <v>56</v>
      </c>
      <c r="E116" s="10">
        <v>1.10727010478E11</v>
      </c>
      <c r="F116" s="10" t="s">
        <v>18</v>
      </c>
      <c r="G116" s="11" t="s">
        <v>61</v>
      </c>
      <c r="H116" s="10" t="s">
        <v>143</v>
      </c>
      <c r="I116" s="10">
        <v>12.0</v>
      </c>
      <c r="J116" s="10" t="s">
        <v>11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9" t="s">
        <v>674</v>
      </c>
      <c r="B117" s="9" t="s">
        <v>675</v>
      </c>
      <c r="C117" s="10" t="s">
        <v>226</v>
      </c>
      <c r="D117" s="10" t="s">
        <v>56</v>
      </c>
      <c r="E117" s="10">
        <v>1.1081908159E11</v>
      </c>
      <c r="F117" s="10" t="s">
        <v>18</v>
      </c>
      <c r="G117" s="11" t="s">
        <v>61</v>
      </c>
      <c r="H117" s="10" t="s">
        <v>143</v>
      </c>
      <c r="I117" s="10">
        <v>13.0</v>
      </c>
      <c r="J117" s="10" t="s">
        <v>11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9" t="s">
        <v>676</v>
      </c>
      <c r="B118" s="9" t="s">
        <v>677</v>
      </c>
      <c r="C118" s="10" t="s">
        <v>238</v>
      </c>
      <c r="D118" s="10" t="s">
        <v>56</v>
      </c>
      <c r="E118" s="10">
        <v>1.00518010704E11</v>
      </c>
      <c r="F118" s="10" t="s">
        <v>18</v>
      </c>
      <c r="G118" s="11" t="s">
        <v>61</v>
      </c>
      <c r="H118" s="10" t="s">
        <v>143</v>
      </c>
      <c r="I118" s="10">
        <v>14.0</v>
      </c>
      <c r="J118" s="10" t="s">
        <v>11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9" t="s">
        <v>678</v>
      </c>
      <c r="B119" s="9" t="s">
        <v>679</v>
      </c>
      <c r="C119" s="10" t="s">
        <v>55</v>
      </c>
      <c r="D119" s="10" t="s">
        <v>56</v>
      </c>
      <c r="E119" s="10">
        <v>1.21119121602E11</v>
      </c>
      <c r="F119" s="10" t="s">
        <v>18</v>
      </c>
      <c r="G119" s="11" t="s">
        <v>61</v>
      </c>
      <c r="H119" s="10" t="s">
        <v>143</v>
      </c>
      <c r="I119" s="10">
        <v>15.0</v>
      </c>
      <c r="J119" s="10" t="s">
        <v>11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9" t="s">
        <v>680</v>
      </c>
      <c r="B120" s="9" t="s">
        <v>681</v>
      </c>
      <c r="C120" s="10" t="s">
        <v>55</v>
      </c>
      <c r="D120" s="10" t="s">
        <v>56</v>
      </c>
      <c r="E120" s="10">
        <v>1.20426011708E11</v>
      </c>
      <c r="F120" s="10" t="s">
        <v>18</v>
      </c>
      <c r="G120" s="11" t="s">
        <v>61</v>
      </c>
      <c r="H120" s="10" t="s">
        <v>143</v>
      </c>
      <c r="I120" s="10">
        <v>16.0</v>
      </c>
      <c r="J120" s="10" t="s">
        <v>11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9" t="s">
        <v>682</v>
      </c>
      <c r="B121" s="9" t="s">
        <v>683</v>
      </c>
      <c r="C121" s="10" t="s">
        <v>309</v>
      </c>
      <c r="D121" s="10" t="s">
        <v>56</v>
      </c>
      <c r="E121" s="10">
        <v>1.1030101004E11</v>
      </c>
      <c r="F121" s="10" t="s">
        <v>18</v>
      </c>
      <c r="G121" s="11" t="s">
        <v>61</v>
      </c>
      <c r="H121" s="10" t="s">
        <v>143</v>
      </c>
      <c r="I121" s="10">
        <v>17.0</v>
      </c>
      <c r="J121" s="10" t="s">
        <v>38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9" t="s">
        <v>684</v>
      </c>
      <c r="B122" s="9" t="s">
        <v>685</v>
      </c>
      <c r="C122" s="10" t="s">
        <v>21</v>
      </c>
      <c r="D122" s="10" t="s">
        <v>56</v>
      </c>
      <c r="E122" s="10">
        <v>1.20301011472E11</v>
      </c>
      <c r="F122" s="10" t="s">
        <v>18</v>
      </c>
      <c r="G122" s="11" t="s">
        <v>61</v>
      </c>
      <c r="H122" s="9" t="s">
        <v>143</v>
      </c>
      <c r="I122" s="9">
        <v>18.0</v>
      </c>
      <c r="J122" s="10" t="s">
        <v>11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9" t="s">
        <v>686</v>
      </c>
      <c r="B123" s="9" t="s">
        <v>687</v>
      </c>
      <c r="C123" s="10" t="s">
        <v>336</v>
      </c>
      <c r="D123" s="10" t="s">
        <v>56</v>
      </c>
      <c r="E123" s="10">
        <v>1.1031001064E11</v>
      </c>
      <c r="F123" s="10" t="s">
        <v>18</v>
      </c>
      <c r="G123" s="11" t="s">
        <v>61</v>
      </c>
      <c r="H123" s="10" t="s">
        <v>143</v>
      </c>
      <c r="I123" s="10">
        <v>19.0</v>
      </c>
      <c r="J123" s="10" t="s">
        <v>11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9" t="s">
        <v>688</v>
      </c>
      <c r="B124" s="9" t="s">
        <v>689</v>
      </c>
      <c r="C124" s="10" t="s">
        <v>16</v>
      </c>
      <c r="D124" s="10" t="s">
        <v>56</v>
      </c>
      <c r="E124" s="10">
        <v>1.10501130784E11</v>
      </c>
      <c r="F124" s="10" t="s">
        <v>18</v>
      </c>
      <c r="G124" s="11" t="s">
        <v>61</v>
      </c>
      <c r="H124" s="10" t="s">
        <v>143</v>
      </c>
      <c r="I124" s="10">
        <v>20.0</v>
      </c>
      <c r="J124" s="10" t="s">
        <v>11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9" t="s">
        <v>690</v>
      </c>
      <c r="B125" s="9" t="s">
        <v>691</v>
      </c>
      <c r="C125" s="10" t="s">
        <v>16</v>
      </c>
      <c r="D125" s="10" t="s">
        <v>56</v>
      </c>
      <c r="E125" s="10">
        <v>1.10121010908E11</v>
      </c>
      <c r="F125" s="10" t="s">
        <v>18</v>
      </c>
      <c r="G125" s="11" t="s">
        <v>61</v>
      </c>
      <c r="H125" s="10" t="s">
        <v>143</v>
      </c>
      <c r="I125" s="10">
        <v>21.0</v>
      </c>
      <c r="J125" s="10" t="s">
        <v>11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9" t="s">
        <v>692</v>
      </c>
      <c r="B126" s="9" t="s">
        <v>693</v>
      </c>
      <c r="C126" s="10" t="s">
        <v>140</v>
      </c>
      <c r="D126" s="10" t="s">
        <v>56</v>
      </c>
      <c r="E126" s="10">
        <v>1.0032740222E10</v>
      </c>
      <c r="F126" s="10" t="s">
        <v>18</v>
      </c>
      <c r="G126" s="11" t="s">
        <v>61</v>
      </c>
      <c r="H126" s="10" t="s">
        <v>175</v>
      </c>
      <c r="I126" s="10">
        <v>1.0</v>
      </c>
      <c r="J126" s="10" t="s">
        <v>11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9" t="s">
        <v>694</v>
      </c>
      <c r="B127" s="9" t="s">
        <v>695</v>
      </c>
      <c r="C127" s="10" t="s">
        <v>50</v>
      </c>
      <c r="D127" s="10" t="s">
        <v>56</v>
      </c>
      <c r="E127" s="10">
        <v>1.0121401104E11</v>
      </c>
      <c r="F127" s="10" t="s">
        <v>18</v>
      </c>
      <c r="G127" s="11" t="s">
        <v>61</v>
      </c>
      <c r="H127" s="10" t="s">
        <v>175</v>
      </c>
      <c r="I127" s="10">
        <v>2.0</v>
      </c>
      <c r="J127" s="10" t="s">
        <v>11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9" t="s">
        <v>696</v>
      </c>
      <c r="B128" s="9" t="s">
        <v>697</v>
      </c>
      <c r="C128" s="10" t="s">
        <v>397</v>
      </c>
      <c r="D128" s="10" t="s">
        <v>56</v>
      </c>
      <c r="E128" s="10">
        <v>1.2070201004E11</v>
      </c>
      <c r="F128" s="10" t="s">
        <v>18</v>
      </c>
      <c r="G128" s="11" t="s">
        <v>61</v>
      </c>
      <c r="H128" s="10" t="s">
        <v>175</v>
      </c>
      <c r="I128" s="10">
        <v>3.0</v>
      </c>
      <c r="J128" s="10" t="s">
        <v>11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9" t="s">
        <v>698</v>
      </c>
      <c r="B129" s="9" t="s">
        <v>699</v>
      </c>
      <c r="C129" s="10" t="s">
        <v>435</v>
      </c>
      <c r="D129" s="10" t="s">
        <v>56</v>
      </c>
      <c r="E129" s="10">
        <v>1.11030030844E11</v>
      </c>
      <c r="F129" s="10" t="s">
        <v>18</v>
      </c>
      <c r="G129" s="11" t="s">
        <v>61</v>
      </c>
      <c r="H129" s="10" t="s">
        <v>175</v>
      </c>
      <c r="I129" s="10">
        <v>4.0</v>
      </c>
      <c r="J129" s="10" t="s">
        <v>11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9" t="s">
        <v>700</v>
      </c>
      <c r="B130" s="9" t="s">
        <v>655</v>
      </c>
      <c r="C130" s="10" t="s">
        <v>254</v>
      </c>
      <c r="D130" s="10" t="s">
        <v>56</v>
      </c>
      <c r="E130" s="10">
        <v>1.20216011216E11</v>
      </c>
      <c r="F130" s="10" t="s">
        <v>18</v>
      </c>
      <c r="G130" s="11" t="s">
        <v>61</v>
      </c>
      <c r="H130" s="10" t="s">
        <v>175</v>
      </c>
      <c r="I130" s="10">
        <v>5.0</v>
      </c>
      <c r="J130" s="10" t="s">
        <v>38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9" t="s">
        <v>701</v>
      </c>
      <c r="B131" s="9" t="s">
        <v>702</v>
      </c>
      <c r="C131" s="10" t="s">
        <v>254</v>
      </c>
      <c r="D131" s="10" t="s">
        <v>56</v>
      </c>
      <c r="E131" s="10">
        <v>1.10616011662E11</v>
      </c>
      <c r="F131" s="10" t="s">
        <v>18</v>
      </c>
      <c r="G131" s="11" t="s">
        <v>61</v>
      </c>
      <c r="H131" s="10" t="s">
        <v>175</v>
      </c>
      <c r="I131" s="10">
        <v>6.0</v>
      </c>
      <c r="J131" s="10" t="s">
        <v>38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9" t="s">
        <v>703</v>
      </c>
      <c r="B132" s="9" t="s">
        <v>704</v>
      </c>
      <c r="C132" s="10" t="s">
        <v>132</v>
      </c>
      <c r="D132" s="10" t="s">
        <v>56</v>
      </c>
      <c r="E132" s="10">
        <v>1.00727011658E11</v>
      </c>
      <c r="F132" s="10" t="s">
        <v>18</v>
      </c>
      <c r="G132" s="11" t="s">
        <v>61</v>
      </c>
      <c r="H132" s="10" t="s">
        <v>175</v>
      </c>
      <c r="I132" s="10">
        <v>7.0</v>
      </c>
      <c r="J132" s="10" t="s">
        <v>11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9" t="s">
        <v>705</v>
      </c>
      <c r="B133" s="9" t="s">
        <v>706</v>
      </c>
      <c r="C133" s="10" t="s">
        <v>125</v>
      </c>
      <c r="D133" s="10" t="s">
        <v>56</v>
      </c>
      <c r="E133" s="10">
        <v>1.1121908022E11</v>
      </c>
      <c r="F133" s="10" t="s">
        <v>18</v>
      </c>
      <c r="G133" s="11" t="s">
        <v>61</v>
      </c>
      <c r="H133" s="10" t="s">
        <v>175</v>
      </c>
      <c r="I133" s="10">
        <v>8.0</v>
      </c>
      <c r="J133" s="10" t="s">
        <v>38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9" t="s">
        <v>707</v>
      </c>
      <c r="B134" s="9" t="s">
        <v>708</v>
      </c>
      <c r="C134" s="10" t="s">
        <v>146</v>
      </c>
      <c r="D134" s="10" t="s">
        <v>56</v>
      </c>
      <c r="E134" s="10">
        <v>1.2091501102E11</v>
      </c>
      <c r="F134" s="10" t="s">
        <v>18</v>
      </c>
      <c r="G134" s="11" t="s">
        <v>61</v>
      </c>
      <c r="H134" s="10" t="s">
        <v>175</v>
      </c>
      <c r="I134" s="10">
        <v>9.0</v>
      </c>
      <c r="J134" s="10" t="s">
        <v>11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9" t="s">
        <v>709</v>
      </c>
      <c r="B135" s="9" t="s">
        <v>710</v>
      </c>
      <c r="C135" s="10" t="s">
        <v>146</v>
      </c>
      <c r="D135" s="10" t="s">
        <v>56</v>
      </c>
      <c r="E135" s="10">
        <v>1.20525010276E11</v>
      </c>
      <c r="F135" s="10" t="s">
        <v>18</v>
      </c>
      <c r="G135" s="11" t="s">
        <v>61</v>
      </c>
      <c r="H135" s="10" t="s">
        <v>175</v>
      </c>
      <c r="I135" s="10">
        <v>10.0</v>
      </c>
      <c r="J135" s="10" t="s">
        <v>11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9" t="s">
        <v>712</v>
      </c>
      <c r="B136" s="9" t="s">
        <v>714</v>
      </c>
      <c r="C136" s="10" t="s">
        <v>146</v>
      </c>
      <c r="D136" s="10" t="s">
        <v>56</v>
      </c>
      <c r="E136" s="10">
        <v>1.10221010972E11</v>
      </c>
      <c r="F136" s="10" t="s">
        <v>18</v>
      </c>
      <c r="G136" s="11" t="s">
        <v>61</v>
      </c>
      <c r="H136" s="10" t="s">
        <v>175</v>
      </c>
      <c r="I136" s="10">
        <v>11.0</v>
      </c>
      <c r="J136" s="10" t="s">
        <v>11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9" t="s">
        <v>716</v>
      </c>
      <c r="B137" s="9" t="s">
        <v>717</v>
      </c>
      <c r="C137" s="10" t="s">
        <v>166</v>
      </c>
      <c r="D137" s="10" t="s">
        <v>56</v>
      </c>
      <c r="E137" s="10">
        <v>1.20530101252E11</v>
      </c>
      <c r="F137" s="10" t="s">
        <v>18</v>
      </c>
      <c r="G137" s="11" t="s">
        <v>61</v>
      </c>
      <c r="H137" s="10" t="s">
        <v>175</v>
      </c>
      <c r="I137" s="10">
        <v>12.0</v>
      </c>
      <c r="J137" s="10" t="s">
        <v>11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9" t="s">
        <v>718</v>
      </c>
      <c r="B138" s="9" t="s">
        <v>719</v>
      </c>
      <c r="C138" s="10" t="s">
        <v>226</v>
      </c>
      <c r="D138" s="10" t="s">
        <v>56</v>
      </c>
      <c r="E138" s="10">
        <v>1.10605011536E11</v>
      </c>
      <c r="F138" s="10" t="s">
        <v>18</v>
      </c>
      <c r="G138" s="11" t="s">
        <v>61</v>
      </c>
      <c r="H138" s="10" t="s">
        <v>175</v>
      </c>
      <c r="I138" s="10">
        <v>13.0</v>
      </c>
      <c r="J138" s="10" t="s">
        <v>11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9" t="s">
        <v>720</v>
      </c>
      <c r="B139" s="9" t="s">
        <v>721</v>
      </c>
      <c r="C139" s="10" t="s">
        <v>55</v>
      </c>
      <c r="D139" s="10" t="s">
        <v>56</v>
      </c>
      <c r="E139" s="10">
        <v>1.20515130442E11</v>
      </c>
      <c r="F139" s="10" t="s">
        <v>18</v>
      </c>
      <c r="G139" s="11" t="s">
        <v>61</v>
      </c>
      <c r="H139" s="10" t="s">
        <v>175</v>
      </c>
      <c r="I139" s="10">
        <v>14.0</v>
      </c>
      <c r="J139" s="10" t="s">
        <v>38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9" t="s">
        <v>722</v>
      </c>
      <c r="B140" s="9" t="s">
        <v>723</v>
      </c>
      <c r="C140" s="10" t="s">
        <v>55</v>
      </c>
      <c r="D140" s="10" t="s">
        <v>56</v>
      </c>
      <c r="E140" s="10">
        <v>1.2052201123E11</v>
      </c>
      <c r="F140" s="10" t="s">
        <v>18</v>
      </c>
      <c r="G140" s="11" t="s">
        <v>61</v>
      </c>
      <c r="H140" s="10" t="s">
        <v>175</v>
      </c>
      <c r="I140" s="10">
        <v>15.0</v>
      </c>
      <c r="J140" s="10" t="s">
        <v>11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9" t="s">
        <v>724</v>
      </c>
      <c r="B141" s="9" t="s">
        <v>725</v>
      </c>
      <c r="C141" s="10" t="s">
        <v>55</v>
      </c>
      <c r="D141" s="10" t="s">
        <v>56</v>
      </c>
      <c r="E141" s="10">
        <v>1.20202010546E11</v>
      </c>
      <c r="F141" s="10" t="s">
        <v>18</v>
      </c>
      <c r="G141" s="11" t="s">
        <v>61</v>
      </c>
      <c r="H141" s="10" t="s">
        <v>175</v>
      </c>
      <c r="I141" s="10">
        <v>16.0</v>
      </c>
      <c r="J141" s="10" t="s">
        <v>38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9" t="s">
        <v>726</v>
      </c>
      <c r="B142" s="9" t="s">
        <v>727</v>
      </c>
      <c r="C142" s="10" t="s">
        <v>323</v>
      </c>
      <c r="D142" s="10" t="s">
        <v>56</v>
      </c>
      <c r="E142" s="10">
        <v>1.10429010592E11</v>
      </c>
      <c r="F142" s="10" t="s">
        <v>18</v>
      </c>
      <c r="G142" s="11" t="s">
        <v>61</v>
      </c>
      <c r="H142" s="10" t="s">
        <v>175</v>
      </c>
      <c r="I142" s="10">
        <v>17.0</v>
      </c>
      <c r="J142" s="10" t="s">
        <v>11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9" t="s">
        <v>728</v>
      </c>
      <c r="B143" s="9" t="s">
        <v>729</v>
      </c>
      <c r="C143" s="10" t="s">
        <v>21</v>
      </c>
      <c r="D143" s="10" t="s">
        <v>56</v>
      </c>
      <c r="E143" s="10">
        <v>1.20127010684E11</v>
      </c>
      <c r="F143" s="10" t="s">
        <v>18</v>
      </c>
      <c r="G143" s="11" t="s">
        <v>61</v>
      </c>
      <c r="H143" s="10" t="s">
        <v>175</v>
      </c>
      <c r="I143" s="10">
        <v>18.0</v>
      </c>
      <c r="J143" s="10" t="s">
        <v>38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9" t="s">
        <v>732</v>
      </c>
      <c r="B144" s="9" t="s">
        <v>734</v>
      </c>
      <c r="C144" s="10" t="s">
        <v>349</v>
      </c>
      <c r="D144" s="10" t="s">
        <v>56</v>
      </c>
      <c r="E144" s="10">
        <v>1.00621012142E11</v>
      </c>
      <c r="F144" s="10" t="s">
        <v>18</v>
      </c>
      <c r="G144" s="11" t="s">
        <v>61</v>
      </c>
      <c r="H144" s="10" t="s">
        <v>175</v>
      </c>
      <c r="I144" s="10">
        <v>19.0</v>
      </c>
      <c r="J144" s="10" t="s">
        <v>38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9" t="s">
        <v>735</v>
      </c>
      <c r="B145" s="9" t="s">
        <v>736</v>
      </c>
      <c r="C145" s="10" t="s">
        <v>16</v>
      </c>
      <c r="D145" s="10" t="s">
        <v>56</v>
      </c>
      <c r="E145" s="10">
        <v>1.11125131496E11</v>
      </c>
      <c r="F145" s="10" t="s">
        <v>18</v>
      </c>
      <c r="G145" s="11" t="s">
        <v>61</v>
      </c>
      <c r="H145" s="10" t="s">
        <v>175</v>
      </c>
      <c r="I145" s="10">
        <v>20.0</v>
      </c>
      <c r="J145" s="10" t="s">
        <v>11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9" t="s">
        <v>663</v>
      </c>
      <c r="B146" s="9" t="s">
        <v>666</v>
      </c>
      <c r="C146" s="10" t="s">
        <v>667</v>
      </c>
      <c r="D146" s="10" t="s">
        <v>576</v>
      </c>
      <c r="E146" s="10">
        <v>1.50211010035E11</v>
      </c>
      <c r="F146" s="10" t="s">
        <v>10</v>
      </c>
      <c r="G146" s="11" t="s">
        <v>574</v>
      </c>
      <c r="H146" s="10" t="s">
        <v>43</v>
      </c>
      <c r="I146" s="10">
        <v>1.0</v>
      </c>
      <c r="J146" s="10" t="s">
        <v>11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9" t="s">
        <v>711</v>
      </c>
      <c r="B147" s="9" t="s">
        <v>713</v>
      </c>
      <c r="C147" s="10" t="s">
        <v>715</v>
      </c>
      <c r="D147" s="10" t="s">
        <v>576</v>
      </c>
      <c r="E147" s="10">
        <v>1.50725010681E11</v>
      </c>
      <c r="F147" s="10" t="s">
        <v>10</v>
      </c>
      <c r="G147" s="11" t="s">
        <v>574</v>
      </c>
      <c r="H147" s="10" t="s">
        <v>43</v>
      </c>
      <c r="I147" s="10">
        <v>2.0</v>
      </c>
      <c r="J147" s="10" t="s">
        <v>38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9" t="s">
        <v>730</v>
      </c>
      <c r="B148" s="9" t="s">
        <v>731</v>
      </c>
      <c r="C148" s="10" t="s">
        <v>733</v>
      </c>
      <c r="D148" s="10" t="s">
        <v>576</v>
      </c>
      <c r="E148" s="10">
        <v>1.51026011225E11</v>
      </c>
      <c r="F148" s="10" t="s">
        <v>10</v>
      </c>
      <c r="G148" s="11" t="s">
        <v>574</v>
      </c>
      <c r="H148" s="10" t="s">
        <v>43</v>
      </c>
      <c r="I148" s="10">
        <v>3.0</v>
      </c>
      <c r="J148" s="10" t="s">
        <v>38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9" t="s">
        <v>737</v>
      </c>
      <c r="B149" s="9" t="s">
        <v>738</v>
      </c>
      <c r="C149" s="10" t="s">
        <v>739</v>
      </c>
      <c r="D149" s="10" t="s">
        <v>576</v>
      </c>
      <c r="E149" s="10">
        <v>1.50204011443E11</v>
      </c>
      <c r="F149" s="10" t="s">
        <v>10</v>
      </c>
      <c r="G149" s="11" t="s">
        <v>574</v>
      </c>
      <c r="H149" s="10" t="s">
        <v>43</v>
      </c>
      <c r="I149" s="10">
        <v>4.0</v>
      </c>
      <c r="J149" s="10" t="s">
        <v>11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9" t="s">
        <v>740</v>
      </c>
      <c r="B150" s="9" t="s">
        <v>741</v>
      </c>
      <c r="C150" s="10" t="s">
        <v>742</v>
      </c>
      <c r="D150" s="10" t="s">
        <v>576</v>
      </c>
      <c r="E150" s="10">
        <v>1.50214010241E11</v>
      </c>
      <c r="F150" s="10" t="s">
        <v>10</v>
      </c>
      <c r="G150" s="11" t="s">
        <v>574</v>
      </c>
      <c r="H150" s="10" t="s">
        <v>43</v>
      </c>
      <c r="I150" s="10">
        <v>5.0</v>
      </c>
      <c r="J150" s="10" t="s">
        <v>11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9" t="s">
        <v>743</v>
      </c>
      <c r="B151" s="9" t="s">
        <v>744</v>
      </c>
      <c r="C151" s="10" t="s">
        <v>745</v>
      </c>
      <c r="D151" s="10" t="s">
        <v>576</v>
      </c>
      <c r="E151" s="10">
        <v>2.1010112367E11</v>
      </c>
      <c r="F151" s="10" t="s">
        <v>10</v>
      </c>
      <c r="G151" s="11" t="s">
        <v>574</v>
      </c>
      <c r="H151" s="10" t="s">
        <v>43</v>
      </c>
      <c r="I151" s="10">
        <v>6.0</v>
      </c>
      <c r="J151" s="10" t="s">
        <v>11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9" t="s">
        <v>746</v>
      </c>
      <c r="B152" s="9" t="s">
        <v>747</v>
      </c>
      <c r="C152" s="10" t="s">
        <v>748</v>
      </c>
      <c r="D152" s="10" t="s">
        <v>576</v>
      </c>
      <c r="E152" s="10">
        <v>1.41212011553E11</v>
      </c>
      <c r="F152" s="10" t="s">
        <v>10</v>
      </c>
      <c r="G152" s="11" t="s">
        <v>574</v>
      </c>
      <c r="H152" s="10" t="s">
        <v>43</v>
      </c>
      <c r="I152" s="10">
        <v>7.0</v>
      </c>
      <c r="J152" s="10" t="s">
        <v>11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9" t="s">
        <v>749</v>
      </c>
      <c r="B153" s="9" t="s">
        <v>750</v>
      </c>
      <c r="C153" s="10" t="s">
        <v>751</v>
      </c>
      <c r="D153" s="10" t="s">
        <v>576</v>
      </c>
      <c r="E153" s="10">
        <v>1.50116011689E11</v>
      </c>
      <c r="F153" s="10" t="s">
        <v>10</v>
      </c>
      <c r="G153" s="11" t="s">
        <v>574</v>
      </c>
      <c r="H153" s="10" t="s">
        <v>43</v>
      </c>
      <c r="I153" s="10">
        <v>8.0</v>
      </c>
      <c r="J153" s="10" t="s">
        <v>11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9" t="s">
        <v>752</v>
      </c>
      <c r="B154" s="9" t="s">
        <v>753</v>
      </c>
      <c r="C154" s="10" t="s">
        <v>326</v>
      </c>
      <c r="D154" s="10" t="s">
        <v>576</v>
      </c>
      <c r="E154" s="10">
        <v>1.51120011627E11</v>
      </c>
      <c r="F154" s="10" t="s">
        <v>10</v>
      </c>
      <c r="G154" s="11" t="s">
        <v>574</v>
      </c>
      <c r="H154" s="10" t="s">
        <v>43</v>
      </c>
      <c r="I154" s="10">
        <v>9.0</v>
      </c>
      <c r="J154" s="10" t="s">
        <v>11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9" t="s">
        <v>754</v>
      </c>
      <c r="B155" s="9" t="s">
        <v>755</v>
      </c>
      <c r="C155" s="10" t="s">
        <v>756</v>
      </c>
      <c r="D155" s="10" t="s">
        <v>576</v>
      </c>
      <c r="E155" s="10">
        <v>1.50312011037E11</v>
      </c>
      <c r="F155" s="10" t="s">
        <v>10</v>
      </c>
      <c r="G155" s="11" t="s">
        <v>574</v>
      </c>
      <c r="H155" s="10" t="s">
        <v>43</v>
      </c>
      <c r="I155" s="10">
        <v>10.0</v>
      </c>
      <c r="J155" s="10" t="s">
        <v>11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9" t="s">
        <v>757</v>
      </c>
      <c r="B156" s="9" t="s">
        <v>758</v>
      </c>
      <c r="C156" s="10" t="s">
        <v>756</v>
      </c>
      <c r="D156" s="10" t="s">
        <v>576</v>
      </c>
      <c r="E156" s="10">
        <v>1.50630011577E11</v>
      </c>
      <c r="F156" s="10" t="s">
        <v>10</v>
      </c>
      <c r="G156" s="11" t="s">
        <v>574</v>
      </c>
      <c r="H156" s="10" t="s">
        <v>43</v>
      </c>
      <c r="I156" s="10">
        <v>11.0</v>
      </c>
      <c r="J156" s="10" t="s">
        <v>11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9" t="s">
        <v>759</v>
      </c>
      <c r="B157" s="9" t="s">
        <v>760</v>
      </c>
      <c r="C157" s="10" t="s">
        <v>366</v>
      </c>
      <c r="D157" s="10" t="s">
        <v>576</v>
      </c>
      <c r="E157" s="10">
        <v>1.40206011659E11</v>
      </c>
      <c r="F157" s="10" t="s">
        <v>10</v>
      </c>
      <c r="G157" s="11" t="s">
        <v>574</v>
      </c>
      <c r="H157" s="10" t="s">
        <v>43</v>
      </c>
      <c r="I157" s="10">
        <v>12.0</v>
      </c>
      <c r="J157" s="10" t="s">
        <v>11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9" t="s">
        <v>761</v>
      </c>
      <c r="B158" s="9" t="s">
        <v>762</v>
      </c>
      <c r="C158" s="10" t="s">
        <v>366</v>
      </c>
      <c r="D158" s="10" t="s">
        <v>576</v>
      </c>
      <c r="E158" s="10">
        <v>1.40814011185E11</v>
      </c>
      <c r="F158" s="10" t="s">
        <v>10</v>
      </c>
      <c r="G158" s="11" t="s">
        <v>574</v>
      </c>
      <c r="H158" s="10" t="s">
        <v>43</v>
      </c>
      <c r="I158" s="10">
        <v>13.0</v>
      </c>
      <c r="J158" s="10" t="s">
        <v>11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9" t="s">
        <v>763</v>
      </c>
      <c r="B159" s="9" t="s">
        <v>764</v>
      </c>
      <c r="C159" s="10" t="s">
        <v>366</v>
      </c>
      <c r="D159" s="10" t="s">
        <v>576</v>
      </c>
      <c r="E159" s="10">
        <v>1.40417012379E11</v>
      </c>
      <c r="F159" s="10" t="s">
        <v>10</v>
      </c>
      <c r="G159" s="11" t="s">
        <v>574</v>
      </c>
      <c r="H159" s="10" t="s">
        <v>43</v>
      </c>
      <c r="I159" s="10">
        <v>14.0</v>
      </c>
      <c r="J159" s="10" t="s">
        <v>11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9" t="s">
        <v>765</v>
      </c>
      <c r="B160" s="9" t="s">
        <v>766</v>
      </c>
      <c r="C160" s="10" t="s">
        <v>767</v>
      </c>
      <c r="D160" s="10" t="s">
        <v>576</v>
      </c>
      <c r="E160" s="10">
        <v>1.40612011881E11</v>
      </c>
      <c r="F160" s="10" t="s">
        <v>10</v>
      </c>
      <c r="G160" s="11" t="s">
        <v>574</v>
      </c>
      <c r="H160" s="10" t="s">
        <v>43</v>
      </c>
      <c r="I160" s="10">
        <v>15.0</v>
      </c>
      <c r="J160" s="10" t="s">
        <v>11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9" t="s">
        <v>768</v>
      </c>
      <c r="B161" s="9" t="s">
        <v>769</v>
      </c>
      <c r="C161" s="10" t="s">
        <v>770</v>
      </c>
      <c r="D161" s="10" t="s">
        <v>576</v>
      </c>
      <c r="E161" s="10">
        <v>1.51018110055E11</v>
      </c>
      <c r="F161" s="10" t="s">
        <v>10</v>
      </c>
      <c r="G161" s="11" t="s">
        <v>574</v>
      </c>
      <c r="H161" s="10" t="s">
        <v>43</v>
      </c>
      <c r="I161" s="10">
        <v>16.0</v>
      </c>
      <c r="J161" s="10" t="s">
        <v>11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9" t="s">
        <v>771</v>
      </c>
      <c r="B162" s="9" t="s">
        <v>772</v>
      </c>
      <c r="C162" s="10" t="s">
        <v>773</v>
      </c>
      <c r="D162" s="10" t="s">
        <v>576</v>
      </c>
      <c r="E162" s="10">
        <v>1.50223060531E11</v>
      </c>
      <c r="F162" s="10" t="s">
        <v>10</v>
      </c>
      <c r="G162" s="11" t="s">
        <v>574</v>
      </c>
      <c r="H162" s="10" t="s">
        <v>43</v>
      </c>
      <c r="I162" s="10">
        <v>17.0</v>
      </c>
      <c r="J162" s="10" t="s">
        <v>38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9" t="s">
        <v>774</v>
      </c>
      <c r="B163" s="9" t="s">
        <v>775</v>
      </c>
      <c r="C163" s="10" t="s">
        <v>318</v>
      </c>
      <c r="D163" s="10" t="s">
        <v>576</v>
      </c>
      <c r="E163" s="10">
        <v>1.51027011147E11</v>
      </c>
      <c r="F163" s="10" t="s">
        <v>10</v>
      </c>
      <c r="G163" s="11" t="s">
        <v>574</v>
      </c>
      <c r="H163" s="10" t="s">
        <v>43</v>
      </c>
      <c r="I163" s="10">
        <v>18.0</v>
      </c>
      <c r="J163" s="10" t="s">
        <v>11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9" t="s">
        <v>776</v>
      </c>
      <c r="B164" s="9" t="s">
        <v>777</v>
      </c>
      <c r="C164" s="10" t="s">
        <v>359</v>
      </c>
      <c r="D164" s="10" t="s">
        <v>576</v>
      </c>
      <c r="E164" s="10">
        <v>1.50924010211E11</v>
      </c>
      <c r="F164" s="10" t="s">
        <v>10</v>
      </c>
      <c r="G164" s="11" t="s">
        <v>574</v>
      </c>
      <c r="H164" s="10" t="s">
        <v>43</v>
      </c>
      <c r="I164" s="10">
        <v>19.0</v>
      </c>
      <c r="J164" s="10" t="s">
        <v>11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9" t="s">
        <v>778</v>
      </c>
      <c r="B165" s="9" t="s">
        <v>779</v>
      </c>
      <c r="C165" s="10" t="s">
        <v>359</v>
      </c>
      <c r="D165" s="10" t="s">
        <v>576</v>
      </c>
      <c r="E165" s="10">
        <v>1.60119080363E11</v>
      </c>
      <c r="F165" s="10" t="s">
        <v>10</v>
      </c>
      <c r="G165" s="11" t="s">
        <v>574</v>
      </c>
      <c r="H165" s="10" t="s">
        <v>43</v>
      </c>
      <c r="I165" s="10">
        <v>20.0</v>
      </c>
      <c r="J165" s="10" t="s">
        <v>11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9" t="s">
        <v>780</v>
      </c>
      <c r="B166" s="9" t="s">
        <v>781</v>
      </c>
      <c r="C166" s="10" t="s">
        <v>390</v>
      </c>
      <c r="D166" s="10" t="s">
        <v>576</v>
      </c>
      <c r="E166" s="10">
        <v>1.50703010963E11</v>
      </c>
      <c r="F166" s="10" t="s">
        <v>10</v>
      </c>
      <c r="G166" s="11" t="s">
        <v>574</v>
      </c>
      <c r="H166" s="10" t="s">
        <v>43</v>
      </c>
      <c r="I166" s="10">
        <v>21.0</v>
      </c>
      <c r="J166" s="10" t="s">
        <v>11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9" t="s">
        <v>782</v>
      </c>
      <c r="B167" s="9" t="s">
        <v>783</v>
      </c>
      <c r="C167" s="10" t="s">
        <v>784</v>
      </c>
      <c r="D167" s="10" t="s">
        <v>576</v>
      </c>
      <c r="E167" s="10">
        <v>1.5692115E7</v>
      </c>
      <c r="F167" s="10" t="s">
        <v>10</v>
      </c>
      <c r="G167" s="11" t="s">
        <v>574</v>
      </c>
      <c r="H167" s="10" t="s">
        <v>43</v>
      </c>
      <c r="I167" s="10">
        <v>22.0</v>
      </c>
      <c r="J167" s="10" t="s">
        <v>11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9" t="s">
        <v>785</v>
      </c>
      <c r="B168" s="9" t="s">
        <v>786</v>
      </c>
      <c r="C168" s="10" t="s">
        <v>784</v>
      </c>
      <c r="D168" s="10" t="s">
        <v>576</v>
      </c>
      <c r="E168" s="10">
        <v>1.50103011399E11</v>
      </c>
      <c r="F168" s="10" t="s">
        <v>10</v>
      </c>
      <c r="G168" s="11" t="s">
        <v>574</v>
      </c>
      <c r="H168" s="10" t="s">
        <v>43</v>
      </c>
      <c r="I168" s="10">
        <v>23.0</v>
      </c>
      <c r="J168" s="10" t="s">
        <v>11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9" t="s">
        <v>787</v>
      </c>
      <c r="B169" s="9" t="s">
        <v>788</v>
      </c>
      <c r="C169" s="10" t="s">
        <v>789</v>
      </c>
      <c r="D169" s="10" t="s">
        <v>576</v>
      </c>
      <c r="E169" s="10">
        <v>1.50110010095E11</v>
      </c>
      <c r="F169" s="10" t="s">
        <v>10</v>
      </c>
      <c r="G169" s="11" t="s">
        <v>574</v>
      </c>
      <c r="H169" s="10" t="s">
        <v>43</v>
      </c>
      <c r="I169" s="10">
        <v>24.0</v>
      </c>
      <c r="J169" s="10" t="s">
        <v>11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9" t="s">
        <v>790</v>
      </c>
      <c r="B170" s="9" t="s">
        <v>791</v>
      </c>
      <c r="C170" s="9" t="s">
        <v>373</v>
      </c>
      <c r="D170" s="9" t="s">
        <v>576</v>
      </c>
      <c r="E170" s="9">
        <v>1.50627010063E11</v>
      </c>
      <c r="F170" s="9" t="s">
        <v>10</v>
      </c>
      <c r="G170" s="11" t="s">
        <v>574</v>
      </c>
      <c r="H170" s="9" t="s">
        <v>43</v>
      </c>
      <c r="I170" s="9">
        <v>25.0</v>
      </c>
      <c r="J170" s="9" t="s">
        <v>11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9" t="s">
        <v>792</v>
      </c>
      <c r="B171" s="9" t="s">
        <v>793</v>
      </c>
      <c r="C171" s="9" t="s">
        <v>370</v>
      </c>
      <c r="D171" s="9" t="s">
        <v>576</v>
      </c>
      <c r="E171" s="9">
        <v>1.50328011357E11</v>
      </c>
      <c r="F171" s="9" t="s">
        <v>10</v>
      </c>
      <c r="G171" s="11" t="s">
        <v>574</v>
      </c>
      <c r="H171" s="9" t="s">
        <v>43</v>
      </c>
      <c r="I171" s="9">
        <v>26.0</v>
      </c>
      <c r="J171" s="9" t="s">
        <v>11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9" t="s">
        <v>794</v>
      </c>
      <c r="B172" s="9" t="s">
        <v>795</v>
      </c>
      <c r="C172" s="9" t="s">
        <v>796</v>
      </c>
      <c r="D172" s="9" t="s">
        <v>576</v>
      </c>
      <c r="E172" s="9">
        <v>1.40325030457E11</v>
      </c>
      <c r="F172" s="9" t="s">
        <v>10</v>
      </c>
      <c r="G172" s="11" t="s">
        <v>574</v>
      </c>
      <c r="H172" s="9" t="s">
        <v>43</v>
      </c>
      <c r="I172" s="9">
        <v>27.0</v>
      </c>
      <c r="J172" s="9" t="s">
        <v>11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9" t="s">
        <v>797</v>
      </c>
      <c r="B173" s="9" t="s">
        <v>798</v>
      </c>
      <c r="C173" s="9" t="s">
        <v>799</v>
      </c>
      <c r="D173" s="9" t="s">
        <v>576</v>
      </c>
      <c r="E173" s="9">
        <v>1.50126010049E11</v>
      </c>
      <c r="F173" s="9" t="s">
        <v>10</v>
      </c>
      <c r="G173" s="11" t="s">
        <v>574</v>
      </c>
      <c r="H173" s="9" t="s">
        <v>43</v>
      </c>
      <c r="I173" s="9">
        <v>28.0</v>
      </c>
      <c r="J173" s="9" t="s">
        <v>11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9" t="s">
        <v>800</v>
      </c>
      <c r="B174" s="9" t="s">
        <v>801</v>
      </c>
      <c r="C174" s="9" t="s">
        <v>802</v>
      </c>
      <c r="D174" s="9" t="s">
        <v>576</v>
      </c>
      <c r="E174" s="9">
        <v>1.50311011123E11</v>
      </c>
      <c r="F174" s="9" t="s">
        <v>10</v>
      </c>
      <c r="G174" s="11" t="s">
        <v>574</v>
      </c>
      <c r="H174" s="9" t="s">
        <v>43</v>
      </c>
      <c r="I174" s="9">
        <v>29.0</v>
      </c>
      <c r="J174" s="9" t="s">
        <v>11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9" t="s">
        <v>803</v>
      </c>
      <c r="B175" s="9" t="s">
        <v>804</v>
      </c>
      <c r="C175" s="9" t="s">
        <v>805</v>
      </c>
      <c r="D175" s="9" t="s">
        <v>576</v>
      </c>
      <c r="E175" s="9">
        <v>1.50921012289E11</v>
      </c>
      <c r="F175" s="9" t="s">
        <v>10</v>
      </c>
      <c r="G175" s="11" t="s">
        <v>574</v>
      </c>
      <c r="H175" s="9" t="s">
        <v>43</v>
      </c>
      <c r="I175" s="9">
        <v>30.0</v>
      </c>
      <c r="J175" s="9" t="s">
        <v>11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9" t="s">
        <v>806</v>
      </c>
      <c r="B176" s="9" t="s">
        <v>807</v>
      </c>
      <c r="C176" s="9" t="s">
        <v>808</v>
      </c>
      <c r="D176" s="9" t="s">
        <v>576</v>
      </c>
      <c r="E176" s="9">
        <v>1.50611011045E11</v>
      </c>
      <c r="F176" s="9" t="s">
        <v>10</v>
      </c>
      <c r="G176" s="11" t="s">
        <v>574</v>
      </c>
      <c r="H176" s="9" t="s">
        <v>43</v>
      </c>
      <c r="I176" s="9">
        <v>31.0</v>
      </c>
      <c r="J176" s="9" t="s">
        <v>11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9" t="s">
        <v>809</v>
      </c>
      <c r="B177" s="9" t="s">
        <v>810</v>
      </c>
      <c r="C177" s="9" t="s">
        <v>808</v>
      </c>
      <c r="D177" s="9" t="s">
        <v>576</v>
      </c>
      <c r="E177" s="9">
        <v>1.50714010459E11</v>
      </c>
      <c r="F177" s="9" t="s">
        <v>10</v>
      </c>
      <c r="G177" s="11" t="s">
        <v>574</v>
      </c>
      <c r="H177" s="9" t="s">
        <v>43</v>
      </c>
      <c r="I177" s="9">
        <v>32.0</v>
      </c>
      <c r="J177" s="9" t="s">
        <v>11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9" t="s">
        <v>811</v>
      </c>
      <c r="B178" s="9" t="s">
        <v>812</v>
      </c>
      <c r="C178" s="9" t="s">
        <v>808</v>
      </c>
      <c r="D178" s="9" t="s">
        <v>576</v>
      </c>
      <c r="E178" s="9">
        <v>1.50111010687E11</v>
      </c>
      <c r="F178" s="9" t="s">
        <v>10</v>
      </c>
      <c r="G178" s="11" t="s">
        <v>574</v>
      </c>
      <c r="H178" s="9" t="s">
        <v>43</v>
      </c>
      <c r="I178" s="9">
        <v>33.0</v>
      </c>
      <c r="J178" s="9" t="s">
        <v>11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9" t="s">
        <v>813</v>
      </c>
      <c r="B179" s="9" t="s">
        <v>814</v>
      </c>
      <c r="C179" s="9" t="s">
        <v>667</v>
      </c>
      <c r="D179" s="9" t="s">
        <v>576</v>
      </c>
      <c r="E179" s="9">
        <v>1.50823011979E11</v>
      </c>
      <c r="F179" s="9" t="s">
        <v>10</v>
      </c>
      <c r="G179" s="11" t="s">
        <v>574</v>
      </c>
      <c r="H179" s="9" t="s">
        <v>143</v>
      </c>
      <c r="I179" s="9">
        <v>1.0</v>
      </c>
      <c r="J179" s="9" t="s">
        <v>38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9" t="s">
        <v>815</v>
      </c>
      <c r="B180" s="9" t="s">
        <v>816</v>
      </c>
      <c r="C180" s="9" t="s">
        <v>817</v>
      </c>
      <c r="D180" s="9" t="s">
        <v>576</v>
      </c>
      <c r="E180" s="9">
        <v>1.51101040377E11</v>
      </c>
      <c r="F180" s="9" t="s">
        <v>10</v>
      </c>
      <c r="G180" s="11" t="s">
        <v>574</v>
      </c>
      <c r="H180" s="9" t="s">
        <v>143</v>
      </c>
      <c r="I180" s="9">
        <v>2.0</v>
      </c>
      <c r="J180" s="9" t="s">
        <v>38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9" t="s">
        <v>818</v>
      </c>
      <c r="B181" s="9" t="s">
        <v>819</v>
      </c>
      <c r="C181" s="9" t="s">
        <v>733</v>
      </c>
      <c r="D181" s="9" t="s">
        <v>576</v>
      </c>
      <c r="E181" s="9">
        <v>1.50924010035E11</v>
      </c>
      <c r="F181" s="9" t="s">
        <v>10</v>
      </c>
      <c r="G181" s="11" t="s">
        <v>574</v>
      </c>
      <c r="H181" s="9" t="s">
        <v>143</v>
      </c>
      <c r="I181" s="9">
        <v>3.0</v>
      </c>
      <c r="J181" s="9" t="s">
        <v>38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9" t="s">
        <v>820</v>
      </c>
      <c r="B182" s="9" t="s">
        <v>821</v>
      </c>
      <c r="C182" s="9" t="s">
        <v>742</v>
      </c>
      <c r="D182" s="9" t="s">
        <v>576</v>
      </c>
      <c r="E182" s="9">
        <v>1.40102140261E11</v>
      </c>
      <c r="F182" s="9" t="s">
        <v>10</v>
      </c>
      <c r="G182" s="11" t="s">
        <v>574</v>
      </c>
      <c r="H182" s="9" t="s">
        <v>143</v>
      </c>
      <c r="I182" s="9">
        <v>4.0</v>
      </c>
      <c r="J182" s="9" t="s">
        <v>11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9" t="s">
        <v>822</v>
      </c>
      <c r="B183" s="9" t="s">
        <v>823</v>
      </c>
      <c r="C183" s="9" t="s">
        <v>742</v>
      </c>
      <c r="D183" s="9" t="s">
        <v>576</v>
      </c>
      <c r="E183" s="9">
        <v>1.50822010245E11</v>
      </c>
      <c r="F183" s="9" t="s">
        <v>10</v>
      </c>
      <c r="G183" s="11" t="s">
        <v>574</v>
      </c>
      <c r="H183" s="9" t="s">
        <v>143</v>
      </c>
      <c r="I183" s="9">
        <v>5.0</v>
      </c>
      <c r="J183" s="9" t="s">
        <v>11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9" t="s">
        <v>824</v>
      </c>
      <c r="B184" s="9" t="s">
        <v>825</v>
      </c>
      <c r="C184" s="9" t="s">
        <v>411</v>
      </c>
      <c r="D184" s="9" t="s">
        <v>576</v>
      </c>
      <c r="E184" s="9">
        <v>1.50118010719E11</v>
      </c>
      <c r="F184" s="9" t="s">
        <v>10</v>
      </c>
      <c r="G184" s="11" t="s">
        <v>574</v>
      </c>
      <c r="H184" s="9" t="s">
        <v>143</v>
      </c>
      <c r="I184" s="9">
        <v>6.0</v>
      </c>
      <c r="J184" s="9" t="s">
        <v>11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9" t="s">
        <v>826</v>
      </c>
      <c r="B185" s="9" t="s">
        <v>827</v>
      </c>
      <c r="C185" s="9" t="s">
        <v>748</v>
      </c>
      <c r="D185" s="9" t="s">
        <v>576</v>
      </c>
      <c r="E185" s="9">
        <v>1.50309140401E11</v>
      </c>
      <c r="F185" s="9" t="s">
        <v>10</v>
      </c>
      <c r="G185" s="11" t="s">
        <v>574</v>
      </c>
      <c r="H185" s="9" t="s">
        <v>143</v>
      </c>
      <c r="I185" s="9">
        <v>7.0</v>
      </c>
      <c r="J185" s="9" t="s">
        <v>38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9" t="s">
        <v>828</v>
      </c>
      <c r="B186" s="9" t="s">
        <v>829</v>
      </c>
      <c r="C186" s="9" t="s">
        <v>347</v>
      </c>
      <c r="D186" s="9" t="s">
        <v>576</v>
      </c>
      <c r="E186" s="9">
        <v>1.51009011573E11</v>
      </c>
      <c r="F186" s="9" t="s">
        <v>10</v>
      </c>
      <c r="G186" s="11" t="s">
        <v>574</v>
      </c>
      <c r="H186" s="9" t="s">
        <v>143</v>
      </c>
      <c r="I186" s="9">
        <v>8.0</v>
      </c>
      <c r="J186" s="9" t="s">
        <v>11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9" t="s">
        <v>830</v>
      </c>
      <c r="B187" s="9" t="s">
        <v>831</v>
      </c>
      <c r="C187" s="9" t="s">
        <v>326</v>
      </c>
      <c r="D187" s="9" t="s">
        <v>576</v>
      </c>
      <c r="E187" s="9">
        <v>1.50606060037E11</v>
      </c>
      <c r="F187" s="9" t="s">
        <v>10</v>
      </c>
      <c r="G187" s="11" t="s">
        <v>574</v>
      </c>
      <c r="H187" s="9" t="s">
        <v>143</v>
      </c>
      <c r="I187" s="9">
        <v>9.0</v>
      </c>
      <c r="J187" s="9" t="s">
        <v>11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9" t="s">
        <v>832</v>
      </c>
      <c r="B188" s="9" t="s">
        <v>833</v>
      </c>
      <c r="C188" s="9" t="s">
        <v>756</v>
      </c>
      <c r="D188" s="9" t="s">
        <v>576</v>
      </c>
      <c r="E188" s="9">
        <v>1.50519010891E11</v>
      </c>
      <c r="F188" s="9" t="s">
        <v>10</v>
      </c>
      <c r="G188" s="11" t="s">
        <v>574</v>
      </c>
      <c r="H188" s="9" t="s">
        <v>143</v>
      </c>
      <c r="I188" s="9">
        <v>10.0</v>
      </c>
      <c r="J188" s="9" t="s">
        <v>11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9" t="s">
        <v>834</v>
      </c>
      <c r="B189" s="9" t="s">
        <v>835</v>
      </c>
      <c r="C189" s="9" t="s">
        <v>366</v>
      </c>
      <c r="D189" s="9" t="s">
        <v>576</v>
      </c>
      <c r="E189" s="9">
        <v>1.40529010773E11</v>
      </c>
      <c r="F189" s="9" t="s">
        <v>10</v>
      </c>
      <c r="G189" s="11" t="s">
        <v>574</v>
      </c>
      <c r="H189" s="9" t="s">
        <v>143</v>
      </c>
      <c r="I189" s="9">
        <v>11.0</v>
      </c>
      <c r="J189" s="9" t="s">
        <v>11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9" t="s">
        <v>836</v>
      </c>
      <c r="B190" s="9" t="s">
        <v>837</v>
      </c>
      <c r="C190" s="9" t="s">
        <v>366</v>
      </c>
      <c r="D190" s="9" t="s">
        <v>576</v>
      </c>
      <c r="E190" s="9">
        <v>1.40821130537E11</v>
      </c>
      <c r="F190" s="9" t="s">
        <v>10</v>
      </c>
      <c r="G190" s="11" t="s">
        <v>574</v>
      </c>
      <c r="H190" s="9" t="s">
        <v>143</v>
      </c>
      <c r="I190" s="9">
        <v>12.0</v>
      </c>
      <c r="J190" s="9" t="s">
        <v>11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9" t="s">
        <v>838</v>
      </c>
      <c r="B191" s="9" t="s">
        <v>839</v>
      </c>
      <c r="C191" s="9" t="s">
        <v>366</v>
      </c>
      <c r="D191" s="9" t="s">
        <v>576</v>
      </c>
      <c r="E191" s="9">
        <v>1.40805010877E11</v>
      </c>
      <c r="F191" s="9" t="s">
        <v>10</v>
      </c>
      <c r="G191" s="11" t="s">
        <v>574</v>
      </c>
      <c r="H191" s="9" t="s">
        <v>143</v>
      </c>
      <c r="I191" s="9">
        <v>13.0</v>
      </c>
      <c r="J191" s="9" t="s">
        <v>11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9" t="s">
        <v>840</v>
      </c>
      <c r="B192" s="9" t="s">
        <v>841</v>
      </c>
      <c r="C192" s="9" t="s">
        <v>366</v>
      </c>
      <c r="D192" s="9" t="s">
        <v>576</v>
      </c>
      <c r="E192" s="9">
        <v>1.40306011517E11</v>
      </c>
      <c r="F192" s="9" t="s">
        <v>10</v>
      </c>
      <c r="G192" s="11" t="s">
        <v>574</v>
      </c>
      <c r="H192" s="9" t="s">
        <v>143</v>
      </c>
      <c r="I192" s="9">
        <v>14.0</v>
      </c>
      <c r="J192" s="9" t="s">
        <v>11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9" t="s">
        <v>842</v>
      </c>
      <c r="B193" s="9" t="s">
        <v>843</v>
      </c>
      <c r="C193" s="9" t="s">
        <v>767</v>
      </c>
      <c r="D193" s="9" t="s">
        <v>576</v>
      </c>
      <c r="E193" s="9">
        <v>1.50627010629E11</v>
      </c>
      <c r="F193" s="9" t="s">
        <v>10</v>
      </c>
      <c r="G193" s="11" t="s">
        <v>574</v>
      </c>
      <c r="H193" s="9" t="s">
        <v>143</v>
      </c>
      <c r="I193" s="9">
        <v>15.0</v>
      </c>
      <c r="J193" s="9" t="s">
        <v>11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9" t="s">
        <v>844</v>
      </c>
      <c r="B194" s="9" t="s">
        <v>845</v>
      </c>
      <c r="C194" s="9" t="s">
        <v>380</v>
      </c>
      <c r="D194" s="9" t="s">
        <v>576</v>
      </c>
      <c r="E194" s="9">
        <v>1.51017011303E11</v>
      </c>
      <c r="F194" s="9" t="s">
        <v>10</v>
      </c>
      <c r="G194" s="11" t="s">
        <v>574</v>
      </c>
      <c r="H194" s="9" t="s">
        <v>143</v>
      </c>
      <c r="I194" s="9">
        <v>16.0</v>
      </c>
      <c r="J194" s="9" t="s">
        <v>11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9" t="s">
        <v>846</v>
      </c>
      <c r="B195" s="9" t="s">
        <v>847</v>
      </c>
      <c r="C195" s="9" t="s">
        <v>773</v>
      </c>
      <c r="D195" s="9" t="s">
        <v>576</v>
      </c>
      <c r="E195" s="9">
        <v>1.50306010257E11</v>
      </c>
      <c r="F195" s="9" t="s">
        <v>10</v>
      </c>
      <c r="G195" s="11" t="s">
        <v>574</v>
      </c>
      <c r="H195" s="9" t="s">
        <v>143</v>
      </c>
      <c r="I195" s="9">
        <v>17.0</v>
      </c>
      <c r="J195" s="9" t="s">
        <v>11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9" t="s">
        <v>848</v>
      </c>
      <c r="B196" s="9" t="s">
        <v>849</v>
      </c>
      <c r="C196" s="9" t="s">
        <v>359</v>
      </c>
      <c r="D196" s="9" t="s">
        <v>576</v>
      </c>
      <c r="E196" s="9">
        <v>1.60508010465E11</v>
      </c>
      <c r="F196" s="9" t="s">
        <v>10</v>
      </c>
      <c r="G196" s="11" t="s">
        <v>574</v>
      </c>
      <c r="H196" s="9" t="s">
        <v>143</v>
      </c>
      <c r="I196" s="9">
        <v>18.0</v>
      </c>
      <c r="J196" s="9" t="s">
        <v>11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9" t="s">
        <v>850</v>
      </c>
      <c r="B197" s="9" t="s">
        <v>851</v>
      </c>
      <c r="C197" s="9" t="s">
        <v>359</v>
      </c>
      <c r="D197" s="9" t="s">
        <v>576</v>
      </c>
      <c r="E197" s="9">
        <v>1.50617101463E11</v>
      </c>
      <c r="F197" s="9" t="s">
        <v>10</v>
      </c>
      <c r="G197" s="11" t="s">
        <v>574</v>
      </c>
      <c r="H197" s="9" t="s">
        <v>143</v>
      </c>
      <c r="I197" s="9">
        <v>19.0</v>
      </c>
      <c r="J197" s="9" t="s">
        <v>11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9" t="s">
        <v>852</v>
      </c>
      <c r="B198" s="9" t="s">
        <v>853</v>
      </c>
      <c r="C198" s="9" t="s">
        <v>359</v>
      </c>
      <c r="D198" s="9" t="s">
        <v>576</v>
      </c>
      <c r="E198" s="9">
        <v>1.60211102537E11</v>
      </c>
      <c r="F198" s="9" t="s">
        <v>10</v>
      </c>
      <c r="G198" s="11" t="s">
        <v>574</v>
      </c>
      <c r="H198" s="9" t="s">
        <v>143</v>
      </c>
      <c r="I198" s="9">
        <v>20.0</v>
      </c>
      <c r="J198" s="9" t="s">
        <v>11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9" t="s">
        <v>854</v>
      </c>
      <c r="B199" s="9" t="s">
        <v>855</v>
      </c>
      <c r="C199" s="9" t="s">
        <v>390</v>
      </c>
      <c r="D199" s="9" t="s">
        <v>576</v>
      </c>
      <c r="E199" s="9">
        <v>1.41207011559E11</v>
      </c>
      <c r="F199" s="9" t="s">
        <v>10</v>
      </c>
      <c r="G199" s="11" t="s">
        <v>574</v>
      </c>
      <c r="H199" s="9" t="s">
        <v>143</v>
      </c>
      <c r="I199" s="9">
        <v>21.0</v>
      </c>
      <c r="J199" s="9" t="s">
        <v>11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9" t="s">
        <v>856</v>
      </c>
      <c r="B200" s="9" t="s">
        <v>857</v>
      </c>
      <c r="C200" s="9" t="s">
        <v>784</v>
      </c>
      <c r="D200" s="9" t="s">
        <v>576</v>
      </c>
      <c r="E200" s="9">
        <v>1.51005010557E11</v>
      </c>
      <c r="F200" s="9" t="s">
        <v>10</v>
      </c>
      <c r="G200" s="11" t="s">
        <v>574</v>
      </c>
      <c r="H200" s="9" t="s">
        <v>143</v>
      </c>
      <c r="I200" s="9">
        <v>22.0</v>
      </c>
      <c r="J200" s="9" t="s">
        <v>11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9" t="s">
        <v>858</v>
      </c>
      <c r="B201" s="9" t="s">
        <v>859</v>
      </c>
      <c r="C201" s="9" t="s">
        <v>789</v>
      </c>
      <c r="D201" s="9" t="s">
        <v>576</v>
      </c>
      <c r="E201" s="9">
        <v>1.50618011873E11</v>
      </c>
      <c r="F201" s="9" t="s">
        <v>10</v>
      </c>
      <c r="G201" s="11" t="s">
        <v>574</v>
      </c>
      <c r="H201" s="9" t="s">
        <v>143</v>
      </c>
      <c r="I201" s="9">
        <v>23.0</v>
      </c>
      <c r="J201" s="9" t="s">
        <v>11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9" t="s">
        <v>860</v>
      </c>
      <c r="B202" s="9" t="s">
        <v>861</v>
      </c>
      <c r="C202" s="9" t="s">
        <v>789</v>
      </c>
      <c r="D202" s="9" t="s">
        <v>576</v>
      </c>
      <c r="E202" s="9">
        <v>1.50909030345E11</v>
      </c>
      <c r="F202" s="9" t="s">
        <v>10</v>
      </c>
      <c r="G202" s="11" t="s">
        <v>574</v>
      </c>
      <c r="H202" s="9" t="s">
        <v>143</v>
      </c>
      <c r="I202" s="9">
        <v>24.0</v>
      </c>
      <c r="J202" s="9" t="s">
        <v>11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9" t="s">
        <v>862</v>
      </c>
      <c r="B203" s="9" t="s">
        <v>863</v>
      </c>
      <c r="C203" s="9" t="s">
        <v>396</v>
      </c>
      <c r="D203" s="9" t="s">
        <v>576</v>
      </c>
      <c r="E203" s="9">
        <v>1.50221010733E11</v>
      </c>
      <c r="F203" s="9" t="s">
        <v>10</v>
      </c>
      <c r="G203" s="11" t="s">
        <v>574</v>
      </c>
      <c r="H203" s="9" t="s">
        <v>143</v>
      </c>
      <c r="I203" s="9">
        <v>25.0</v>
      </c>
      <c r="J203" s="9" t="s">
        <v>11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9" t="s">
        <v>864</v>
      </c>
      <c r="B204" s="9" t="s">
        <v>865</v>
      </c>
      <c r="C204" s="9" t="s">
        <v>370</v>
      </c>
      <c r="D204" s="9" t="s">
        <v>576</v>
      </c>
      <c r="E204" s="9">
        <v>1.50120011075E11</v>
      </c>
      <c r="F204" s="9" t="s">
        <v>10</v>
      </c>
      <c r="G204" s="11" t="s">
        <v>574</v>
      </c>
      <c r="H204" s="9" t="s">
        <v>143</v>
      </c>
      <c r="I204" s="9">
        <v>26.0</v>
      </c>
      <c r="J204" s="9" t="s">
        <v>11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9" t="s">
        <v>866</v>
      </c>
      <c r="B205" s="9" t="s">
        <v>867</v>
      </c>
      <c r="C205" s="9" t="s">
        <v>799</v>
      </c>
      <c r="D205" s="9" t="s">
        <v>576</v>
      </c>
      <c r="E205" s="9">
        <v>1.50922012125E11</v>
      </c>
      <c r="F205" s="9" t="s">
        <v>10</v>
      </c>
      <c r="G205" s="11" t="s">
        <v>574</v>
      </c>
      <c r="H205" s="9" t="s">
        <v>143</v>
      </c>
      <c r="I205" s="9">
        <v>27.0</v>
      </c>
      <c r="J205" s="9" t="s">
        <v>11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9" t="s">
        <v>868</v>
      </c>
      <c r="B206" s="9" t="s">
        <v>869</v>
      </c>
      <c r="C206" s="9" t="s">
        <v>802</v>
      </c>
      <c r="D206" s="9" t="s">
        <v>576</v>
      </c>
      <c r="E206" s="9">
        <v>1.51225030269E11</v>
      </c>
      <c r="F206" s="9" t="s">
        <v>10</v>
      </c>
      <c r="G206" s="11" t="s">
        <v>574</v>
      </c>
      <c r="H206" s="9" t="s">
        <v>143</v>
      </c>
      <c r="I206" s="9">
        <v>28.0</v>
      </c>
      <c r="J206" s="9" t="s">
        <v>11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9" t="s">
        <v>870</v>
      </c>
      <c r="B207" s="9" t="s">
        <v>871</v>
      </c>
      <c r="C207" s="9" t="s">
        <v>802</v>
      </c>
      <c r="D207" s="9" t="s">
        <v>576</v>
      </c>
      <c r="E207" s="9">
        <v>1.40211010263E11</v>
      </c>
      <c r="F207" s="9" t="s">
        <v>10</v>
      </c>
      <c r="G207" s="11" t="s">
        <v>574</v>
      </c>
      <c r="H207" s="9" t="s">
        <v>143</v>
      </c>
      <c r="I207" s="9">
        <v>29.0</v>
      </c>
      <c r="J207" s="9" t="s">
        <v>11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9" t="s">
        <v>872</v>
      </c>
      <c r="B208" s="9" t="s">
        <v>873</v>
      </c>
      <c r="C208" s="9" t="s">
        <v>805</v>
      </c>
      <c r="D208" s="9" t="s">
        <v>576</v>
      </c>
      <c r="E208" s="9">
        <v>1.51029010965E11</v>
      </c>
      <c r="F208" s="9" t="s">
        <v>10</v>
      </c>
      <c r="G208" s="11" t="s">
        <v>574</v>
      </c>
      <c r="H208" s="9" t="s">
        <v>143</v>
      </c>
      <c r="I208" s="9">
        <v>30.0</v>
      </c>
      <c r="J208" s="9" t="s">
        <v>11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9" t="s">
        <v>874</v>
      </c>
      <c r="B209" s="9" t="s">
        <v>875</v>
      </c>
      <c r="C209" s="9" t="s">
        <v>808</v>
      </c>
      <c r="D209" s="9" t="s">
        <v>576</v>
      </c>
      <c r="E209" s="9">
        <v>1.51023100513E11</v>
      </c>
      <c r="F209" s="9" t="s">
        <v>10</v>
      </c>
      <c r="G209" s="11" t="s">
        <v>574</v>
      </c>
      <c r="H209" s="9" t="s">
        <v>143</v>
      </c>
      <c r="I209" s="9">
        <v>31.0</v>
      </c>
      <c r="J209" s="9" t="s">
        <v>11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9" t="s">
        <v>876</v>
      </c>
      <c r="B210" s="9" t="s">
        <v>877</v>
      </c>
      <c r="C210" s="9" t="s">
        <v>808</v>
      </c>
      <c r="D210" s="9" t="s">
        <v>576</v>
      </c>
      <c r="E210" s="9">
        <v>1.50215010083E11</v>
      </c>
      <c r="F210" s="9" t="s">
        <v>10</v>
      </c>
      <c r="G210" s="11" t="s">
        <v>574</v>
      </c>
      <c r="H210" s="9" t="s">
        <v>143</v>
      </c>
      <c r="I210" s="9">
        <v>32.0</v>
      </c>
      <c r="J210" s="9" t="s">
        <v>11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9" t="s">
        <v>878</v>
      </c>
      <c r="B211" s="9" t="s">
        <v>879</v>
      </c>
      <c r="C211" s="9" t="s">
        <v>808</v>
      </c>
      <c r="D211" s="9" t="s">
        <v>576</v>
      </c>
      <c r="E211" s="9">
        <v>1.51121010407E11</v>
      </c>
      <c r="F211" s="9" t="s">
        <v>10</v>
      </c>
      <c r="G211" s="11" t="s">
        <v>574</v>
      </c>
      <c r="H211" s="9" t="s">
        <v>143</v>
      </c>
      <c r="I211" s="9">
        <v>33.0</v>
      </c>
      <c r="J211" s="9" t="s">
        <v>11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9" t="s">
        <v>316</v>
      </c>
      <c r="B212" s="9" t="s">
        <v>880</v>
      </c>
      <c r="C212" s="9" t="s">
        <v>715</v>
      </c>
      <c r="D212" s="9" t="s">
        <v>576</v>
      </c>
      <c r="E212" s="9">
        <v>1.50307010849E11</v>
      </c>
      <c r="F212" s="9" t="s">
        <v>10</v>
      </c>
      <c r="G212" s="11" t="s">
        <v>574</v>
      </c>
      <c r="H212" s="9" t="s">
        <v>175</v>
      </c>
      <c r="I212" s="9">
        <v>1.0</v>
      </c>
      <c r="J212" s="9" t="s">
        <v>38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9" t="s">
        <v>324</v>
      </c>
      <c r="B213" s="9" t="s">
        <v>881</v>
      </c>
      <c r="C213" s="9" t="s">
        <v>817</v>
      </c>
      <c r="D213" s="9" t="s">
        <v>576</v>
      </c>
      <c r="E213" s="9">
        <v>1.50306021095E11</v>
      </c>
      <c r="F213" s="9" t="s">
        <v>10</v>
      </c>
      <c r="G213" s="11" t="s">
        <v>574</v>
      </c>
      <c r="H213" s="9" t="s">
        <v>175</v>
      </c>
      <c r="I213" s="9">
        <v>2.0</v>
      </c>
      <c r="J213" s="9" t="s">
        <v>38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9" t="s">
        <v>327</v>
      </c>
      <c r="B214" s="9" t="s">
        <v>882</v>
      </c>
      <c r="C214" s="9" t="s">
        <v>739</v>
      </c>
      <c r="D214" s="9" t="s">
        <v>576</v>
      </c>
      <c r="E214" s="9">
        <v>1.51229011559E11</v>
      </c>
      <c r="F214" s="9" t="s">
        <v>10</v>
      </c>
      <c r="G214" s="11" t="s">
        <v>574</v>
      </c>
      <c r="H214" s="9" t="s">
        <v>175</v>
      </c>
      <c r="I214" s="9">
        <v>3.0</v>
      </c>
      <c r="J214" s="9" t="s">
        <v>11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9" t="s">
        <v>332</v>
      </c>
      <c r="B215" s="9" t="s">
        <v>883</v>
      </c>
      <c r="C215" s="9" t="s">
        <v>742</v>
      </c>
      <c r="D215" s="9" t="s">
        <v>576</v>
      </c>
      <c r="E215" s="9">
        <v>1.50731060263E11</v>
      </c>
      <c r="F215" s="9" t="s">
        <v>10</v>
      </c>
      <c r="G215" s="11" t="s">
        <v>574</v>
      </c>
      <c r="H215" s="9" t="s">
        <v>175</v>
      </c>
      <c r="I215" s="9">
        <v>4.0</v>
      </c>
      <c r="J215" s="9" t="s">
        <v>11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9" t="s">
        <v>337</v>
      </c>
      <c r="B216" s="9" t="s">
        <v>884</v>
      </c>
      <c r="C216" s="9" t="s">
        <v>745</v>
      </c>
      <c r="D216" s="9" t="s">
        <v>576</v>
      </c>
      <c r="E216" s="9">
        <v>2.11101029548E11</v>
      </c>
      <c r="F216" s="9" t="s">
        <v>10</v>
      </c>
      <c r="G216" s="11" t="s">
        <v>574</v>
      </c>
      <c r="H216" s="9" t="s">
        <v>175</v>
      </c>
      <c r="I216" s="9">
        <v>5.0</v>
      </c>
      <c r="J216" s="9" t="s">
        <v>11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9" t="s">
        <v>342</v>
      </c>
      <c r="B217" s="9" t="s">
        <v>885</v>
      </c>
      <c r="C217" s="9" t="s">
        <v>411</v>
      </c>
      <c r="D217" s="9" t="s">
        <v>576</v>
      </c>
      <c r="E217" s="9">
        <v>1.50904011049E11</v>
      </c>
      <c r="F217" s="9" t="s">
        <v>10</v>
      </c>
      <c r="G217" s="11" t="s">
        <v>574</v>
      </c>
      <c r="H217" s="9" t="s">
        <v>175</v>
      </c>
      <c r="I217" s="9">
        <v>6.0</v>
      </c>
      <c r="J217" s="9" t="s">
        <v>11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9" t="s">
        <v>344</v>
      </c>
      <c r="B218" s="9" t="s">
        <v>886</v>
      </c>
      <c r="C218" s="9" t="s">
        <v>751</v>
      </c>
      <c r="D218" s="9" t="s">
        <v>576</v>
      </c>
      <c r="E218" s="9">
        <v>1.50308010605E11</v>
      </c>
      <c r="F218" s="9" t="s">
        <v>10</v>
      </c>
      <c r="G218" s="11" t="s">
        <v>574</v>
      </c>
      <c r="H218" s="9" t="s">
        <v>175</v>
      </c>
      <c r="I218" s="9">
        <v>7.0</v>
      </c>
      <c r="J218" s="9" t="s">
        <v>11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9" t="s">
        <v>351</v>
      </c>
      <c r="B219" s="9" t="s">
        <v>887</v>
      </c>
      <c r="C219" s="9" t="s">
        <v>347</v>
      </c>
      <c r="D219" s="9" t="s">
        <v>576</v>
      </c>
      <c r="E219" s="9">
        <v>1.50112011913E11</v>
      </c>
      <c r="F219" s="9" t="s">
        <v>10</v>
      </c>
      <c r="G219" s="11" t="s">
        <v>574</v>
      </c>
      <c r="H219" s="9" t="s">
        <v>175</v>
      </c>
      <c r="I219" s="9">
        <v>8.0</v>
      </c>
      <c r="J219" s="9" t="s">
        <v>11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9" t="s">
        <v>355</v>
      </c>
      <c r="B220" s="9" t="s">
        <v>888</v>
      </c>
      <c r="C220" s="9" t="s">
        <v>326</v>
      </c>
      <c r="D220" s="9" t="s">
        <v>576</v>
      </c>
      <c r="E220" s="9">
        <v>1.50826010963E11</v>
      </c>
      <c r="F220" s="9" t="s">
        <v>10</v>
      </c>
      <c r="G220" s="11" t="s">
        <v>574</v>
      </c>
      <c r="H220" s="9" t="s">
        <v>175</v>
      </c>
      <c r="I220" s="9">
        <v>9.0</v>
      </c>
      <c r="J220" s="9" t="s">
        <v>11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9" t="s">
        <v>357</v>
      </c>
      <c r="B221" s="9" t="s">
        <v>889</v>
      </c>
      <c r="C221" s="9" t="s">
        <v>756</v>
      </c>
      <c r="D221" s="9" t="s">
        <v>576</v>
      </c>
      <c r="E221" s="9">
        <v>1.50602010761E11</v>
      </c>
      <c r="F221" s="9" t="s">
        <v>10</v>
      </c>
      <c r="G221" s="11" t="s">
        <v>574</v>
      </c>
      <c r="H221" s="9" t="s">
        <v>175</v>
      </c>
      <c r="I221" s="9">
        <v>10.0</v>
      </c>
      <c r="J221" s="9" t="s">
        <v>11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9" t="s">
        <v>364</v>
      </c>
      <c r="B222" s="9" t="s">
        <v>890</v>
      </c>
      <c r="C222" s="9" t="s">
        <v>366</v>
      </c>
      <c r="D222" s="9" t="s">
        <v>576</v>
      </c>
      <c r="E222" s="9">
        <v>1.40527010243E11</v>
      </c>
      <c r="F222" s="9" t="s">
        <v>10</v>
      </c>
      <c r="G222" s="11" t="s">
        <v>574</v>
      </c>
      <c r="H222" s="9" t="s">
        <v>175</v>
      </c>
      <c r="I222" s="9">
        <v>11.0</v>
      </c>
      <c r="J222" s="9" t="s">
        <v>11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9" t="s">
        <v>368</v>
      </c>
      <c r="B223" s="9" t="s">
        <v>891</v>
      </c>
      <c r="C223" s="9" t="s">
        <v>366</v>
      </c>
      <c r="D223" s="9" t="s">
        <v>576</v>
      </c>
      <c r="E223" s="9">
        <v>1.41103011503E11</v>
      </c>
      <c r="F223" s="9" t="s">
        <v>10</v>
      </c>
      <c r="G223" s="11" t="s">
        <v>574</v>
      </c>
      <c r="H223" s="9" t="s">
        <v>175</v>
      </c>
      <c r="I223" s="9">
        <v>12.0</v>
      </c>
      <c r="J223" s="9" t="s">
        <v>11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9" t="s">
        <v>371</v>
      </c>
      <c r="B224" s="9" t="s">
        <v>892</v>
      </c>
      <c r="C224" s="9" t="s">
        <v>366</v>
      </c>
      <c r="D224" s="9" t="s">
        <v>576</v>
      </c>
      <c r="E224" s="9">
        <v>1.40110030329E11</v>
      </c>
      <c r="F224" s="9" t="s">
        <v>10</v>
      </c>
      <c r="G224" s="11" t="s">
        <v>574</v>
      </c>
      <c r="H224" s="9" t="s">
        <v>175</v>
      </c>
      <c r="I224" s="9">
        <v>13.0</v>
      </c>
      <c r="J224" s="9" t="s">
        <v>11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9" t="s">
        <v>374</v>
      </c>
      <c r="B225" s="9" t="s">
        <v>893</v>
      </c>
      <c r="C225" s="9" t="s">
        <v>767</v>
      </c>
      <c r="D225" s="9" t="s">
        <v>576</v>
      </c>
      <c r="E225" s="9">
        <v>1.41015010527E11</v>
      </c>
      <c r="F225" s="9" t="s">
        <v>10</v>
      </c>
      <c r="G225" s="11" t="s">
        <v>574</v>
      </c>
      <c r="H225" s="9" t="s">
        <v>175</v>
      </c>
      <c r="I225" s="9">
        <v>14.0</v>
      </c>
      <c r="J225" s="9" t="s">
        <v>11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9" t="s">
        <v>378</v>
      </c>
      <c r="B226" s="9" t="s">
        <v>894</v>
      </c>
      <c r="C226" s="9" t="s">
        <v>770</v>
      </c>
      <c r="D226" s="9" t="s">
        <v>576</v>
      </c>
      <c r="E226" s="9">
        <v>1.50618011259E11</v>
      </c>
      <c r="F226" s="9" t="s">
        <v>10</v>
      </c>
      <c r="G226" s="11" t="s">
        <v>574</v>
      </c>
      <c r="H226" s="9" t="s">
        <v>175</v>
      </c>
      <c r="I226" s="9">
        <v>15.0</v>
      </c>
      <c r="J226" s="9" t="s">
        <v>11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9" t="s">
        <v>895</v>
      </c>
      <c r="B227" s="9" t="s">
        <v>896</v>
      </c>
      <c r="C227" s="9" t="s">
        <v>380</v>
      </c>
      <c r="D227" s="9" t="s">
        <v>576</v>
      </c>
      <c r="E227" s="9">
        <v>1.50609011855E11</v>
      </c>
      <c r="F227" s="9" t="s">
        <v>10</v>
      </c>
      <c r="G227" s="11" t="s">
        <v>574</v>
      </c>
      <c r="H227" s="9" t="s">
        <v>175</v>
      </c>
      <c r="I227" s="9">
        <v>16.0</v>
      </c>
      <c r="J227" s="9" t="s">
        <v>11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9" t="s">
        <v>381</v>
      </c>
      <c r="B228" s="9" t="s">
        <v>897</v>
      </c>
      <c r="C228" s="9" t="s">
        <v>318</v>
      </c>
      <c r="D228" s="9" t="s">
        <v>576</v>
      </c>
      <c r="E228" s="9">
        <v>1.50809011673E11</v>
      </c>
      <c r="F228" s="9" t="s">
        <v>10</v>
      </c>
      <c r="G228" s="11" t="s">
        <v>574</v>
      </c>
      <c r="H228" s="9" t="s">
        <v>175</v>
      </c>
      <c r="I228" s="9">
        <v>17.0</v>
      </c>
      <c r="J228" s="9" t="s">
        <v>11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9" t="s">
        <v>383</v>
      </c>
      <c r="B229" s="9" t="s">
        <v>898</v>
      </c>
      <c r="C229" s="9" t="s">
        <v>359</v>
      </c>
      <c r="D229" s="9" t="s">
        <v>576</v>
      </c>
      <c r="E229" s="9">
        <v>1.51112011651E11</v>
      </c>
      <c r="F229" s="9" t="s">
        <v>10</v>
      </c>
      <c r="G229" s="11" t="s">
        <v>574</v>
      </c>
      <c r="H229" s="9" t="s">
        <v>175</v>
      </c>
      <c r="I229" s="9">
        <v>18.0</v>
      </c>
      <c r="J229" s="9" t="s">
        <v>38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9" t="s">
        <v>386</v>
      </c>
      <c r="B230" s="9" t="s">
        <v>899</v>
      </c>
      <c r="C230" s="9" t="s">
        <v>359</v>
      </c>
      <c r="D230" s="9" t="s">
        <v>576</v>
      </c>
      <c r="E230" s="9">
        <v>1.50429120253E11</v>
      </c>
      <c r="F230" s="9" t="s">
        <v>10</v>
      </c>
      <c r="G230" s="11" t="s">
        <v>574</v>
      </c>
      <c r="H230" s="9" t="s">
        <v>175</v>
      </c>
      <c r="I230" s="9">
        <v>19.0</v>
      </c>
      <c r="J230" s="9" t="s">
        <v>11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9" t="s">
        <v>388</v>
      </c>
      <c r="B231" s="9" t="s">
        <v>900</v>
      </c>
      <c r="C231" s="9" t="s">
        <v>390</v>
      </c>
      <c r="D231" s="9" t="s">
        <v>576</v>
      </c>
      <c r="E231" s="9">
        <v>1.50713012161E11</v>
      </c>
      <c r="F231" s="9" t="s">
        <v>10</v>
      </c>
      <c r="G231" s="11" t="s">
        <v>574</v>
      </c>
      <c r="H231" s="9" t="s">
        <v>175</v>
      </c>
      <c r="I231" s="9">
        <v>20.0</v>
      </c>
      <c r="J231" s="9" t="s">
        <v>11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9" t="s">
        <v>901</v>
      </c>
      <c r="B232" s="9" t="s">
        <v>902</v>
      </c>
      <c r="C232" s="9" t="s">
        <v>390</v>
      </c>
      <c r="D232" s="9" t="s">
        <v>576</v>
      </c>
      <c r="E232" s="9">
        <v>1.40220011049E11</v>
      </c>
      <c r="F232" s="9" t="s">
        <v>10</v>
      </c>
      <c r="G232" s="11" t="s">
        <v>574</v>
      </c>
      <c r="H232" s="9" t="s">
        <v>175</v>
      </c>
      <c r="I232" s="9">
        <v>21.0</v>
      </c>
      <c r="J232" s="9" t="s">
        <v>11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9" t="s">
        <v>391</v>
      </c>
      <c r="B233" s="9" t="s">
        <v>903</v>
      </c>
      <c r="C233" s="9" t="s">
        <v>784</v>
      </c>
      <c r="D233" s="9" t="s">
        <v>576</v>
      </c>
      <c r="E233" s="9">
        <v>1.51119030337E11</v>
      </c>
      <c r="F233" s="9" t="s">
        <v>10</v>
      </c>
      <c r="G233" s="11" t="s">
        <v>574</v>
      </c>
      <c r="H233" s="9" t="s">
        <v>175</v>
      </c>
      <c r="I233" s="9">
        <v>22.0</v>
      </c>
      <c r="J233" s="9" t="s">
        <v>11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9" t="s">
        <v>393</v>
      </c>
      <c r="B234" s="9" t="s">
        <v>904</v>
      </c>
      <c r="C234" s="9" t="s">
        <v>789</v>
      </c>
      <c r="D234" s="9" t="s">
        <v>576</v>
      </c>
      <c r="E234" s="9">
        <v>1.51016010819E11</v>
      </c>
      <c r="F234" s="9" t="s">
        <v>10</v>
      </c>
      <c r="G234" s="11" t="s">
        <v>574</v>
      </c>
      <c r="H234" s="9" t="s">
        <v>175</v>
      </c>
      <c r="I234" s="9">
        <v>23.0</v>
      </c>
      <c r="J234" s="9" t="s">
        <v>11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9" t="s">
        <v>398</v>
      </c>
      <c r="B235" s="9" t="s">
        <v>905</v>
      </c>
      <c r="C235" s="9" t="s">
        <v>373</v>
      </c>
      <c r="D235" s="9" t="s">
        <v>576</v>
      </c>
      <c r="E235" s="9">
        <v>1.50609011599E11</v>
      </c>
      <c r="F235" s="9" t="s">
        <v>10</v>
      </c>
      <c r="G235" s="11" t="s">
        <v>574</v>
      </c>
      <c r="H235" s="9" t="s">
        <v>175</v>
      </c>
      <c r="I235" s="9">
        <v>24.0</v>
      </c>
      <c r="J235" s="9" t="s">
        <v>11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9" t="s">
        <v>906</v>
      </c>
      <c r="B236" s="9" t="s">
        <v>907</v>
      </c>
      <c r="C236" s="9" t="s">
        <v>396</v>
      </c>
      <c r="D236" s="9" t="s">
        <v>576</v>
      </c>
      <c r="E236" s="9">
        <v>1.50625010203E11</v>
      </c>
      <c r="F236" s="9" t="s">
        <v>10</v>
      </c>
      <c r="G236" s="11" t="s">
        <v>574</v>
      </c>
      <c r="H236" s="9" t="s">
        <v>175</v>
      </c>
      <c r="I236" s="9">
        <v>25.0</v>
      </c>
      <c r="J236" s="9" t="s">
        <v>11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9" t="s">
        <v>400</v>
      </c>
      <c r="B237" s="9" t="s">
        <v>908</v>
      </c>
      <c r="C237" s="9" t="s">
        <v>796</v>
      </c>
      <c r="D237" s="9" t="s">
        <v>576</v>
      </c>
      <c r="E237" s="9">
        <v>1.41124010921E11</v>
      </c>
      <c r="F237" s="9" t="s">
        <v>10</v>
      </c>
      <c r="G237" s="11" t="s">
        <v>574</v>
      </c>
      <c r="H237" s="9" t="s">
        <v>175</v>
      </c>
      <c r="I237" s="9">
        <v>26.0</v>
      </c>
      <c r="J237" s="9" t="s">
        <v>11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9" t="s">
        <v>402</v>
      </c>
      <c r="B238" s="9" t="s">
        <v>909</v>
      </c>
      <c r="C238" s="9" t="s">
        <v>799</v>
      </c>
      <c r="D238" s="9" t="s">
        <v>576</v>
      </c>
      <c r="E238" s="9">
        <v>1.40428010985E11</v>
      </c>
      <c r="F238" s="9" t="s">
        <v>10</v>
      </c>
      <c r="G238" s="11" t="s">
        <v>574</v>
      </c>
      <c r="H238" s="9" t="s">
        <v>175</v>
      </c>
      <c r="I238" s="9">
        <v>27.0</v>
      </c>
      <c r="J238" s="9" t="s">
        <v>11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9" t="s">
        <v>404</v>
      </c>
      <c r="B239" s="9" t="s">
        <v>910</v>
      </c>
      <c r="C239" s="9" t="s">
        <v>802</v>
      </c>
      <c r="D239" s="9" t="s">
        <v>576</v>
      </c>
      <c r="E239" s="9">
        <v>1.40416011665E11</v>
      </c>
      <c r="F239" s="9" t="s">
        <v>10</v>
      </c>
      <c r="G239" s="11" t="s">
        <v>574</v>
      </c>
      <c r="H239" s="9" t="s">
        <v>175</v>
      </c>
      <c r="I239" s="9">
        <v>28.0</v>
      </c>
      <c r="J239" s="9" t="s">
        <v>11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9" t="s">
        <v>407</v>
      </c>
      <c r="B240" s="9" t="s">
        <v>911</v>
      </c>
      <c r="C240" s="9" t="s">
        <v>805</v>
      </c>
      <c r="D240" s="9" t="s">
        <v>576</v>
      </c>
      <c r="E240" s="9">
        <v>1.50203011177E11</v>
      </c>
      <c r="F240" s="9" t="s">
        <v>10</v>
      </c>
      <c r="G240" s="11" t="s">
        <v>574</v>
      </c>
      <c r="H240" s="9" t="s">
        <v>175</v>
      </c>
      <c r="I240" s="9">
        <v>29.0</v>
      </c>
      <c r="J240" s="9" t="s">
        <v>11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9" t="s">
        <v>912</v>
      </c>
      <c r="B241" s="9" t="s">
        <v>913</v>
      </c>
      <c r="C241" s="9" t="s">
        <v>805</v>
      </c>
      <c r="D241" s="9" t="s">
        <v>576</v>
      </c>
      <c r="E241" s="9">
        <v>1.50416101037E11</v>
      </c>
      <c r="F241" s="9" t="s">
        <v>10</v>
      </c>
      <c r="G241" s="11" t="s">
        <v>574</v>
      </c>
      <c r="H241" s="9" t="s">
        <v>175</v>
      </c>
      <c r="I241" s="9">
        <v>30.0</v>
      </c>
      <c r="J241" s="9" t="s">
        <v>11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9" t="s">
        <v>914</v>
      </c>
      <c r="B242" s="9" t="s">
        <v>915</v>
      </c>
      <c r="C242" s="9" t="s">
        <v>808</v>
      </c>
      <c r="D242" s="9" t="s">
        <v>576</v>
      </c>
      <c r="E242" s="9">
        <v>1.50424011197E11</v>
      </c>
      <c r="F242" s="9" t="s">
        <v>10</v>
      </c>
      <c r="G242" s="11" t="s">
        <v>574</v>
      </c>
      <c r="H242" s="9" t="s">
        <v>175</v>
      </c>
      <c r="I242" s="9">
        <v>31.0</v>
      </c>
      <c r="J242" s="9" t="s">
        <v>11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9" t="s">
        <v>409</v>
      </c>
      <c r="B243" s="9" t="s">
        <v>916</v>
      </c>
      <c r="C243" s="9" t="s">
        <v>808</v>
      </c>
      <c r="D243" s="9" t="s">
        <v>576</v>
      </c>
      <c r="E243" s="9">
        <v>1.50508010765E11</v>
      </c>
      <c r="F243" s="9" t="s">
        <v>10</v>
      </c>
      <c r="G243" s="11" t="s">
        <v>574</v>
      </c>
      <c r="H243" s="9" t="s">
        <v>175</v>
      </c>
      <c r="I243" s="9">
        <v>32.0</v>
      </c>
      <c r="J243" s="9" t="s">
        <v>11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9" t="s">
        <v>917</v>
      </c>
      <c r="B244" s="9" t="s">
        <v>918</v>
      </c>
      <c r="C244" s="9" t="s">
        <v>667</v>
      </c>
      <c r="D244" s="9" t="s">
        <v>576</v>
      </c>
      <c r="E244" s="9">
        <v>1.50605010994E11</v>
      </c>
      <c r="F244" s="9" t="s">
        <v>18</v>
      </c>
      <c r="G244" s="11" t="s">
        <v>574</v>
      </c>
      <c r="H244" s="9" t="s">
        <v>43</v>
      </c>
      <c r="I244" s="9">
        <v>1.0</v>
      </c>
      <c r="J244" s="9" t="s">
        <v>11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9" t="s">
        <v>919</v>
      </c>
      <c r="B245" s="9" t="s">
        <v>920</v>
      </c>
      <c r="C245" s="9" t="s">
        <v>715</v>
      </c>
      <c r="D245" s="9" t="s">
        <v>576</v>
      </c>
      <c r="E245" s="9">
        <v>1.40609050388E11</v>
      </c>
      <c r="F245" s="9" t="s">
        <v>18</v>
      </c>
      <c r="G245" s="11" t="s">
        <v>574</v>
      </c>
      <c r="H245" s="9" t="s">
        <v>43</v>
      </c>
      <c r="I245" s="9">
        <v>2.0</v>
      </c>
      <c r="J245" s="9" t="s">
        <v>38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9" t="s">
        <v>921</v>
      </c>
      <c r="B246" s="9" t="s">
        <v>922</v>
      </c>
      <c r="C246" s="9" t="s">
        <v>733</v>
      </c>
      <c r="D246" s="9" t="s">
        <v>576</v>
      </c>
      <c r="E246" s="9">
        <v>1.50309011802E11</v>
      </c>
      <c r="F246" s="9" t="s">
        <v>18</v>
      </c>
      <c r="G246" s="11" t="s">
        <v>574</v>
      </c>
      <c r="H246" s="9" t="s">
        <v>43</v>
      </c>
      <c r="I246" s="9">
        <v>3.0</v>
      </c>
      <c r="J246" s="9" t="s">
        <v>38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9" t="s">
        <v>923</v>
      </c>
      <c r="B247" s="9" t="s">
        <v>924</v>
      </c>
      <c r="C247" s="9" t="s">
        <v>925</v>
      </c>
      <c r="D247" s="9" t="s">
        <v>576</v>
      </c>
      <c r="E247" s="9">
        <v>1.60310020246E11</v>
      </c>
      <c r="F247" s="9" t="s">
        <v>18</v>
      </c>
      <c r="G247" s="11" t="s">
        <v>574</v>
      </c>
      <c r="H247" s="9" t="s">
        <v>43</v>
      </c>
      <c r="I247" s="9">
        <v>4.0</v>
      </c>
      <c r="J247" s="9" t="s">
        <v>11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9" t="s">
        <v>927</v>
      </c>
      <c r="B248" s="9" t="s">
        <v>928</v>
      </c>
      <c r="C248" s="9" t="s">
        <v>929</v>
      </c>
      <c r="D248" s="9" t="s">
        <v>576</v>
      </c>
      <c r="E248" s="9">
        <v>1.5022301119E11</v>
      </c>
      <c r="F248" s="9" t="s">
        <v>18</v>
      </c>
      <c r="G248" s="11" t="s">
        <v>574</v>
      </c>
      <c r="H248" s="9" t="s">
        <v>43</v>
      </c>
      <c r="I248" s="9">
        <v>5.0</v>
      </c>
      <c r="J248" s="9" t="s">
        <v>11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9" t="s">
        <v>930</v>
      </c>
      <c r="B249" s="9" t="s">
        <v>931</v>
      </c>
      <c r="C249" s="9" t="s">
        <v>929</v>
      </c>
      <c r="D249" s="9" t="s">
        <v>576</v>
      </c>
      <c r="E249" s="9">
        <v>1.40205081364E11</v>
      </c>
      <c r="F249" s="9" t="s">
        <v>18</v>
      </c>
      <c r="G249" s="11" t="s">
        <v>574</v>
      </c>
      <c r="H249" s="9" t="s">
        <v>43</v>
      </c>
      <c r="I249" s="9">
        <v>6.0</v>
      </c>
      <c r="J249" s="9" t="s">
        <v>38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9" t="s">
        <v>932</v>
      </c>
      <c r="B250" s="9" t="s">
        <v>933</v>
      </c>
      <c r="C250" s="9" t="s">
        <v>745</v>
      </c>
      <c r="D250" s="9" t="s">
        <v>576</v>
      </c>
      <c r="E250" s="9">
        <v>2.10101080449E11</v>
      </c>
      <c r="F250" s="9" t="s">
        <v>18</v>
      </c>
      <c r="G250" s="11" t="s">
        <v>574</v>
      </c>
      <c r="H250" s="9" t="s">
        <v>43</v>
      </c>
      <c r="I250" s="9">
        <v>7.0</v>
      </c>
      <c r="J250" s="9" t="s">
        <v>11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9" t="s">
        <v>934</v>
      </c>
      <c r="B251" s="9" t="s">
        <v>935</v>
      </c>
      <c r="C251" s="9" t="s">
        <v>411</v>
      </c>
      <c r="D251" s="9" t="s">
        <v>576</v>
      </c>
      <c r="E251" s="9">
        <v>1.50404010736E11</v>
      </c>
      <c r="F251" s="9" t="s">
        <v>18</v>
      </c>
      <c r="G251" s="11" t="s">
        <v>574</v>
      </c>
      <c r="H251" s="9" t="s">
        <v>43</v>
      </c>
      <c r="I251" s="9">
        <v>8.0</v>
      </c>
      <c r="J251" s="9" t="s">
        <v>11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9" t="s">
        <v>936</v>
      </c>
      <c r="B252" s="9" t="s">
        <v>937</v>
      </c>
      <c r="C252" s="9" t="s">
        <v>751</v>
      </c>
      <c r="D252" s="9" t="s">
        <v>576</v>
      </c>
      <c r="E252" s="9">
        <v>1.50917010176E11</v>
      </c>
      <c r="F252" s="9" t="s">
        <v>18</v>
      </c>
      <c r="G252" s="11" t="s">
        <v>574</v>
      </c>
      <c r="H252" s="9" t="s">
        <v>43</v>
      </c>
      <c r="I252" s="9">
        <v>9.0</v>
      </c>
      <c r="J252" s="9" t="s">
        <v>11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9" t="s">
        <v>938</v>
      </c>
      <c r="B253" s="9" t="s">
        <v>939</v>
      </c>
      <c r="C253" s="9" t="s">
        <v>326</v>
      </c>
      <c r="D253" s="9" t="s">
        <v>576</v>
      </c>
      <c r="E253" s="9">
        <v>1.50601011244E11</v>
      </c>
      <c r="F253" s="9" t="s">
        <v>18</v>
      </c>
      <c r="G253" s="11" t="s">
        <v>574</v>
      </c>
      <c r="H253" s="9" t="s">
        <v>43</v>
      </c>
      <c r="I253" s="9">
        <v>10.0</v>
      </c>
      <c r="J253" s="9" t="s">
        <v>11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9" t="s">
        <v>940</v>
      </c>
      <c r="B254" s="9" t="s">
        <v>941</v>
      </c>
      <c r="C254" s="9" t="s">
        <v>366</v>
      </c>
      <c r="D254" s="9" t="s">
        <v>576</v>
      </c>
      <c r="E254" s="9">
        <v>1.4052901065E11</v>
      </c>
      <c r="F254" s="9" t="s">
        <v>18</v>
      </c>
      <c r="G254" s="11" t="s">
        <v>574</v>
      </c>
      <c r="H254" s="9" t="s">
        <v>43</v>
      </c>
      <c r="I254" s="9">
        <v>11.0</v>
      </c>
      <c r="J254" s="9" t="s">
        <v>11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9" t="s">
        <v>942</v>
      </c>
      <c r="B255" s="9" t="s">
        <v>943</v>
      </c>
      <c r="C255" s="9" t="s">
        <v>770</v>
      </c>
      <c r="D255" s="9" t="s">
        <v>576</v>
      </c>
      <c r="E255" s="9">
        <v>1.5112401076E11</v>
      </c>
      <c r="F255" s="9" t="s">
        <v>18</v>
      </c>
      <c r="G255" s="11" t="s">
        <v>574</v>
      </c>
      <c r="H255" s="9" t="s">
        <v>43</v>
      </c>
      <c r="I255" s="9">
        <v>12.0</v>
      </c>
      <c r="J255" s="9" t="s">
        <v>11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9" t="s">
        <v>944</v>
      </c>
      <c r="B256" s="9" t="s">
        <v>945</v>
      </c>
      <c r="C256" s="9" t="s">
        <v>380</v>
      </c>
      <c r="D256" s="9" t="s">
        <v>576</v>
      </c>
      <c r="E256" s="9">
        <v>1.50420010138E11</v>
      </c>
      <c r="F256" s="9" t="s">
        <v>18</v>
      </c>
      <c r="G256" s="11" t="s">
        <v>574</v>
      </c>
      <c r="H256" s="9" t="s">
        <v>43</v>
      </c>
      <c r="I256" s="9">
        <v>13.0</v>
      </c>
      <c r="J256" s="9" t="s">
        <v>11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9" t="s">
        <v>946</v>
      </c>
      <c r="B257" s="9" t="s">
        <v>947</v>
      </c>
      <c r="C257" s="9" t="s">
        <v>318</v>
      </c>
      <c r="D257" s="9" t="s">
        <v>576</v>
      </c>
      <c r="E257" s="9">
        <v>1.50301010274E11</v>
      </c>
      <c r="F257" s="9" t="s">
        <v>18</v>
      </c>
      <c r="G257" s="11" t="s">
        <v>574</v>
      </c>
      <c r="H257" s="9" t="s">
        <v>43</v>
      </c>
      <c r="I257" s="9">
        <v>14.0</v>
      </c>
      <c r="J257" s="9" t="s">
        <v>11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9" t="s">
        <v>948</v>
      </c>
      <c r="B258" s="9" t="s">
        <v>949</v>
      </c>
      <c r="C258" s="9" t="s">
        <v>359</v>
      </c>
      <c r="D258" s="9" t="s">
        <v>576</v>
      </c>
      <c r="E258" s="9">
        <v>1.50214010348E11</v>
      </c>
      <c r="F258" s="9" t="s">
        <v>18</v>
      </c>
      <c r="G258" s="11" t="s">
        <v>574</v>
      </c>
      <c r="H258" s="9" t="s">
        <v>43</v>
      </c>
      <c r="I258" s="9">
        <v>15.0</v>
      </c>
      <c r="J258" s="9" t="s">
        <v>11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9" t="s">
        <v>950</v>
      </c>
      <c r="B259" s="9" t="s">
        <v>951</v>
      </c>
      <c r="C259" s="9" t="s">
        <v>359</v>
      </c>
      <c r="D259" s="9" t="s">
        <v>576</v>
      </c>
      <c r="E259" s="9">
        <v>1.50114010914E11</v>
      </c>
      <c r="F259" s="9" t="s">
        <v>18</v>
      </c>
      <c r="G259" s="11" t="s">
        <v>574</v>
      </c>
      <c r="H259" s="9" t="s">
        <v>43</v>
      </c>
      <c r="I259" s="9">
        <v>16.0</v>
      </c>
      <c r="J259" s="9" t="s">
        <v>11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9" t="s">
        <v>952</v>
      </c>
      <c r="B260" s="9" t="s">
        <v>953</v>
      </c>
      <c r="C260" s="9" t="s">
        <v>396</v>
      </c>
      <c r="D260" s="9" t="s">
        <v>576</v>
      </c>
      <c r="E260" s="9">
        <v>1.50316010322E11</v>
      </c>
      <c r="F260" s="9" t="s">
        <v>18</v>
      </c>
      <c r="G260" s="11" t="s">
        <v>574</v>
      </c>
      <c r="H260" s="9" t="s">
        <v>43</v>
      </c>
      <c r="I260" s="9">
        <v>17.0</v>
      </c>
      <c r="J260" s="9" t="s">
        <v>11</v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9" t="s">
        <v>954</v>
      </c>
      <c r="B261" s="9" t="s">
        <v>955</v>
      </c>
      <c r="C261" s="9" t="s">
        <v>370</v>
      </c>
      <c r="D261" s="9" t="s">
        <v>576</v>
      </c>
      <c r="E261" s="9">
        <v>1.50806010122E11</v>
      </c>
      <c r="F261" s="9" t="s">
        <v>18</v>
      </c>
      <c r="G261" s="11" t="s">
        <v>574</v>
      </c>
      <c r="H261" s="9" t="s">
        <v>43</v>
      </c>
      <c r="I261" s="9">
        <v>18.0</v>
      </c>
      <c r="J261" s="9" t="s">
        <v>11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9" t="s">
        <v>956</v>
      </c>
      <c r="B262" s="9" t="s">
        <v>957</v>
      </c>
      <c r="C262" s="9" t="s">
        <v>799</v>
      </c>
      <c r="D262" s="9" t="s">
        <v>576</v>
      </c>
      <c r="E262" s="9">
        <v>1.51017060252E11</v>
      </c>
      <c r="F262" s="9" t="s">
        <v>18</v>
      </c>
      <c r="G262" s="11" t="s">
        <v>574</v>
      </c>
      <c r="H262" s="9" t="s">
        <v>43</v>
      </c>
      <c r="I262" s="9">
        <v>19.0</v>
      </c>
      <c r="J262" s="9" t="s">
        <v>11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9" t="s">
        <v>958</v>
      </c>
      <c r="B263" s="9" t="s">
        <v>959</v>
      </c>
      <c r="C263" s="9" t="s">
        <v>808</v>
      </c>
      <c r="D263" s="9" t="s">
        <v>576</v>
      </c>
      <c r="E263" s="9">
        <v>1.50228102294E11</v>
      </c>
      <c r="F263" s="9" t="s">
        <v>18</v>
      </c>
      <c r="G263" s="11" t="s">
        <v>574</v>
      </c>
      <c r="H263" s="9" t="s">
        <v>43</v>
      </c>
      <c r="I263" s="9">
        <v>20.0</v>
      </c>
      <c r="J263" s="9" t="s">
        <v>11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9" t="s">
        <v>960</v>
      </c>
      <c r="B264" s="9" t="s">
        <v>961</v>
      </c>
      <c r="C264" s="9" t="s">
        <v>808</v>
      </c>
      <c r="D264" s="9" t="s">
        <v>576</v>
      </c>
      <c r="E264" s="9">
        <v>1.50325011896E11</v>
      </c>
      <c r="F264" s="9" t="s">
        <v>18</v>
      </c>
      <c r="G264" s="11" t="s">
        <v>574</v>
      </c>
      <c r="H264" s="9" t="s">
        <v>43</v>
      </c>
      <c r="I264" s="9">
        <v>21.0</v>
      </c>
      <c r="J264" s="9" t="s">
        <v>11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9" t="s">
        <v>962</v>
      </c>
      <c r="B265" s="9" t="s">
        <v>963</v>
      </c>
      <c r="C265" s="9" t="s">
        <v>667</v>
      </c>
      <c r="D265" s="9" t="s">
        <v>576</v>
      </c>
      <c r="E265" s="9">
        <v>1.51217010962E11</v>
      </c>
      <c r="F265" s="9" t="s">
        <v>18</v>
      </c>
      <c r="G265" s="11" t="s">
        <v>574</v>
      </c>
      <c r="H265" s="9" t="s">
        <v>143</v>
      </c>
      <c r="I265" s="9">
        <v>1.0</v>
      </c>
      <c r="J265" s="9" t="s">
        <v>38</v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9" t="s">
        <v>964</v>
      </c>
      <c r="B266" s="9" t="s">
        <v>965</v>
      </c>
      <c r="C266" s="9" t="s">
        <v>817</v>
      </c>
      <c r="D266" s="9" t="s">
        <v>576</v>
      </c>
      <c r="E266" s="9">
        <v>1.5030708023E11</v>
      </c>
      <c r="F266" s="9" t="s">
        <v>18</v>
      </c>
      <c r="G266" s="11" t="s">
        <v>574</v>
      </c>
      <c r="H266" s="9" t="s">
        <v>143</v>
      </c>
      <c r="I266" s="9">
        <v>2.0</v>
      </c>
      <c r="J266" s="9" t="s">
        <v>38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9" t="s">
        <v>966</v>
      </c>
      <c r="B267" s="9" t="s">
        <v>967</v>
      </c>
      <c r="C267" s="9" t="s">
        <v>733</v>
      </c>
      <c r="D267" s="9" t="s">
        <v>576</v>
      </c>
      <c r="E267" s="9">
        <v>1.50928011182E11</v>
      </c>
      <c r="F267" s="9" t="s">
        <v>18</v>
      </c>
      <c r="G267" s="11" t="s">
        <v>574</v>
      </c>
      <c r="H267" s="9" t="s">
        <v>143</v>
      </c>
      <c r="I267" s="9">
        <v>3.0</v>
      </c>
      <c r="J267" s="9" t="s">
        <v>38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9" t="s">
        <v>968</v>
      </c>
      <c r="B268" s="9" t="s">
        <v>969</v>
      </c>
      <c r="C268" s="9" t="s">
        <v>925</v>
      </c>
      <c r="D268" s="9" t="s">
        <v>576</v>
      </c>
      <c r="E268" s="9">
        <v>1.50108010678E11</v>
      </c>
      <c r="F268" s="9" t="s">
        <v>18</v>
      </c>
      <c r="G268" s="11" t="s">
        <v>574</v>
      </c>
      <c r="H268" s="9" t="s">
        <v>143</v>
      </c>
      <c r="I268" s="9">
        <v>4.0</v>
      </c>
      <c r="J268" s="9" t="s">
        <v>38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9" t="s">
        <v>970</v>
      </c>
      <c r="B269" s="9" t="s">
        <v>971</v>
      </c>
      <c r="C269" s="9" t="s">
        <v>929</v>
      </c>
      <c r="D269" s="9" t="s">
        <v>576</v>
      </c>
      <c r="E269" s="9">
        <v>1.51220011288E11</v>
      </c>
      <c r="F269" s="9" t="s">
        <v>18</v>
      </c>
      <c r="G269" s="11" t="s">
        <v>574</v>
      </c>
      <c r="H269" s="9" t="s">
        <v>143</v>
      </c>
      <c r="I269" s="9">
        <v>5.0</v>
      </c>
      <c r="J269" s="9" t="s">
        <v>11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9" t="s">
        <v>972</v>
      </c>
      <c r="B270" s="9" t="s">
        <v>973</v>
      </c>
      <c r="C270" s="9" t="s">
        <v>739</v>
      </c>
      <c r="D270" s="9" t="s">
        <v>576</v>
      </c>
      <c r="E270" s="9">
        <v>1.5041701011E11</v>
      </c>
      <c r="F270" s="9" t="s">
        <v>18</v>
      </c>
      <c r="G270" s="11" t="s">
        <v>574</v>
      </c>
      <c r="H270" s="9" t="s">
        <v>143</v>
      </c>
      <c r="I270" s="9">
        <v>6.0</v>
      </c>
      <c r="J270" s="9" t="s">
        <v>11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9" t="s">
        <v>974</v>
      </c>
      <c r="B271" s="9" t="s">
        <v>975</v>
      </c>
      <c r="C271" s="9" t="s">
        <v>745</v>
      </c>
      <c r="D271" s="9" t="s">
        <v>576</v>
      </c>
      <c r="E271" s="9">
        <v>2.20101069234E11</v>
      </c>
      <c r="F271" s="9" t="s">
        <v>18</v>
      </c>
      <c r="G271" s="11" t="s">
        <v>574</v>
      </c>
      <c r="H271" s="9" t="s">
        <v>143</v>
      </c>
      <c r="I271" s="9">
        <v>7.0</v>
      </c>
      <c r="J271" s="9" t="s">
        <v>11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9" t="s">
        <v>976</v>
      </c>
      <c r="B272" s="9" t="s">
        <v>977</v>
      </c>
      <c r="C272" s="9" t="s">
        <v>748</v>
      </c>
      <c r="D272" s="9" t="s">
        <v>576</v>
      </c>
      <c r="E272" s="9">
        <v>1.5051314111E11</v>
      </c>
      <c r="F272" s="9" t="s">
        <v>18</v>
      </c>
      <c r="G272" s="11" t="s">
        <v>574</v>
      </c>
      <c r="H272" s="9" t="s">
        <v>143</v>
      </c>
      <c r="I272" s="9">
        <v>8.0</v>
      </c>
      <c r="J272" s="9" t="s">
        <v>11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9" t="s">
        <v>978</v>
      </c>
      <c r="B273" s="9" t="s">
        <v>979</v>
      </c>
      <c r="C273" s="9" t="s">
        <v>347</v>
      </c>
      <c r="D273" s="9" t="s">
        <v>576</v>
      </c>
      <c r="E273" s="9">
        <v>1.50227011446E11</v>
      </c>
      <c r="F273" s="9" t="s">
        <v>18</v>
      </c>
      <c r="G273" s="11" t="s">
        <v>574</v>
      </c>
      <c r="H273" s="9" t="s">
        <v>143</v>
      </c>
      <c r="I273" s="9">
        <v>9.0</v>
      </c>
      <c r="J273" s="9" t="s">
        <v>11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9" t="s">
        <v>980</v>
      </c>
      <c r="B274" s="9" t="s">
        <v>981</v>
      </c>
      <c r="C274" s="9" t="s">
        <v>366</v>
      </c>
      <c r="D274" s="9" t="s">
        <v>576</v>
      </c>
      <c r="E274" s="9">
        <v>1.40214010058E11</v>
      </c>
      <c r="F274" s="9" t="s">
        <v>18</v>
      </c>
      <c r="G274" s="11" t="s">
        <v>574</v>
      </c>
      <c r="H274" s="9" t="s">
        <v>143</v>
      </c>
      <c r="I274" s="9">
        <v>10.0</v>
      </c>
      <c r="J274" s="9" t="s">
        <v>11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9" t="s">
        <v>982</v>
      </c>
      <c r="B275" s="9" t="s">
        <v>983</v>
      </c>
      <c r="C275" s="9" t="s">
        <v>366</v>
      </c>
      <c r="D275" s="9" t="s">
        <v>576</v>
      </c>
      <c r="E275" s="9">
        <v>1.40924120454E11</v>
      </c>
      <c r="F275" s="9" t="s">
        <v>18</v>
      </c>
      <c r="G275" s="11" t="s">
        <v>574</v>
      </c>
      <c r="H275" s="9" t="s">
        <v>143</v>
      </c>
      <c r="I275" s="9">
        <v>11.0</v>
      </c>
      <c r="J275" s="9" t="s">
        <v>11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9" t="s">
        <v>984</v>
      </c>
      <c r="B276" s="9" t="s">
        <v>985</v>
      </c>
      <c r="C276" s="9" t="s">
        <v>770</v>
      </c>
      <c r="D276" s="9" t="s">
        <v>576</v>
      </c>
      <c r="E276" s="9">
        <v>1.50906011376E11</v>
      </c>
      <c r="F276" s="9" t="s">
        <v>18</v>
      </c>
      <c r="G276" s="11" t="s">
        <v>574</v>
      </c>
      <c r="H276" s="9" t="s">
        <v>143</v>
      </c>
      <c r="I276" s="9">
        <v>12.0</v>
      </c>
      <c r="J276" s="9" t="s">
        <v>11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9" t="s">
        <v>986</v>
      </c>
      <c r="B277" s="9" t="s">
        <v>987</v>
      </c>
      <c r="C277" s="9" t="s">
        <v>773</v>
      </c>
      <c r="D277" s="9" t="s">
        <v>576</v>
      </c>
      <c r="E277" s="9">
        <v>1.51026102186E11</v>
      </c>
      <c r="F277" s="9" t="s">
        <v>18</v>
      </c>
      <c r="G277" s="11" t="s">
        <v>574</v>
      </c>
      <c r="H277" s="9" t="s">
        <v>143</v>
      </c>
      <c r="I277" s="9">
        <v>13.0</v>
      </c>
      <c r="J277" s="9" t="s">
        <v>38</v>
      </c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9" t="s">
        <v>988</v>
      </c>
      <c r="B278" s="9" t="s">
        <v>989</v>
      </c>
      <c r="C278" s="9" t="s">
        <v>318</v>
      </c>
      <c r="D278" s="9" t="s">
        <v>576</v>
      </c>
      <c r="E278" s="9">
        <v>1.50212010926E11</v>
      </c>
      <c r="F278" s="9" t="s">
        <v>18</v>
      </c>
      <c r="G278" s="11" t="s">
        <v>574</v>
      </c>
      <c r="H278" s="9" t="s">
        <v>143</v>
      </c>
      <c r="I278" s="9">
        <v>14.0</v>
      </c>
      <c r="J278" s="9" t="s">
        <v>11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9" t="s">
        <v>990</v>
      </c>
      <c r="B279" s="9" t="s">
        <v>991</v>
      </c>
      <c r="C279" s="9" t="s">
        <v>359</v>
      </c>
      <c r="D279" s="9" t="s">
        <v>576</v>
      </c>
      <c r="E279" s="9">
        <v>1.51201010714E11</v>
      </c>
      <c r="F279" s="9" t="s">
        <v>18</v>
      </c>
      <c r="G279" s="11" t="s">
        <v>574</v>
      </c>
      <c r="H279" s="9" t="s">
        <v>143</v>
      </c>
      <c r="I279" s="9">
        <v>15.0</v>
      </c>
      <c r="J279" s="9" t="s">
        <v>11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9" t="s">
        <v>992</v>
      </c>
      <c r="B280" s="9" t="s">
        <v>993</v>
      </c>
      <c r="C280" s="9" t="s">
        <v>373</v>
      </c>
      <c r="D280" s="9" t="s">
        <v>576</v>
      </c>
      <c r="E280" s="9">
        <v>1.51130010396E11</v>
      </c>
      <c r="F280" s="9" t="s">
        <v>18</v>
      </c>
      <c r="G280" s="11" t="s">
        <v>574</v>
      </c>
      <c r="H280" s="9" t="s">
        <v>143</v>
      </c>
      <c r="I280" s="9">
        <v>16.0</v>
      </c>
      <c r="J280" s="9" t="s">
        <v>11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9" t="s">
        <v>994</v>
      </c>
      <c r="B281" s="9" t="s">
        <v>995</v>
      </c>
      <c r="C281" s="9" t="s">
        <v>396</v>
      </c>
      <c r="D281" s="9" t="s">
        <v>576</v>
      </c>
      <c r="E281" s="9">
        <v>1.5022601146E11</v>
      </c>
      <c r="F281" s="9" t="s">
        <v>18</v>
      </c>
      <c r="G281" s="11" t="s">
        <v>574</v>
      </c>
      <c r="H281" s="9" t="s">
        <v>143</v>
      </c>
      <c r="I281" s="9">
        <v>17.0</v>
      </c>
      <c r="J281" s="9" t="s">
        <v>11</v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9" t="s">
        <v>996</v>
      </c>
      <c r="B282" s="9" t="s">
        <v>997</v>
      </c>
      <c r="C282" s="9" t="s">
        <v>796</v>
      </c>
      <c r="D282" s="9" t="s">
        <v>576</v>
      </c>
      <c r="E282" s="9">
        <v>1.4053001165E11</v>
      </c>
      <c r="F282" s="9" t="s">
        <v>18</v>
      </c>
      <c r="G282" s="11" t="s">
        <v>574</v>
      </c>
      <c r="H282" s="9" t="s">
        <v>143</v>
      </c>
      <c r="I282" s="9">
        <v>18.0</v>
      </c>
      <c r="J282" s="9" t="s">
        <v>11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9" t="s">
        <v>998</v>
      </c>
      <c r="B283" s="9" t="s">
        <v>999</v>
      </c>
      <c r="C283" s="9" t="s">
        <v>799</v>
      </c>
      <c r="D283" s="9" t="s">
        <v>576</v>
      </c>
      <c r="E283" s="9">
        <v>1.50617010182E11</v>
      </c>
      <c r="F283" s="9" t="s">
        <v>18</v>
      </c>
      <c r="G283" s="11" t="s">
        <v>574</v>
      </c>
      <c r="H283" s="9" t="s">
        <v>143</v>
      </c>
      <c r="I283" s="9">
        <v>19.0</v>
      </c>
      <c r="J283" s="9" t="s">
        <v>11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9" t="s">
        <v>1000</v>
      </c>
      <c r="B284" s="9" t="s">
        <v>1001</v>
      </c>
      <c r="C284" s="9" t="s">
        <v>808</v>
      </c>
      <c r="D284" s="9" t="s">
        <v>576</v>
      </c>
      <c r="E284" s="9">
        <v>1.5020901137E11</v>
      </c>
      <c r="F284" s="9" t="s">
        <v>18</v>
      </c>
      <c r="G284" s="11" t="s">
        <v>574</v>
      </c>
      <c r="H284" s="9" t="s">
        <v>143</v>
      </c>
      <c r="I284" s="9">
        <v>20.0</v>
      </c>
      <c r="J284" s="9" t="s">
        <v>11</v>
      </c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9" t="s">
        <v>1002</v>
      </c>
      <c r="B285" s="9" t="s">
        <v>1003</v>
      </c>
      <c r="C285" s="9" t="s">
        <v>808</v>
      </c>
      <c r="D285" s="9" t="s">
        <v>576</v>
      </c>
      <c r="E285" s="9">
        <v>1.51215011814E11</v>
      </c>
      <c r="F285" s="9" t="s">
        <v>18</v>
      </c>
      <c r="G285" s="11" t="s">
        <v>574</v>
      </c>
      <c r="H285" s="9" t="s">
        <v>143</v>
      </c>
      <c r="I285" s="9">
        <v>21.0</v>
      </c>
      <c r="J285" s="9" t="s">
        <v>11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9" t="s">
        <v>1004</v>
      </c>
      <c r="B286" s="9" t="s">
        <v>1005</v>
      </c>
      <c r="C286" s="9" t="s">
        <v>715</v>
      </c>
      <c r="D286" s="9" t="s">
        <v>576</v>
      </c>
      <c r="E286" s="9">
        <v>1.50710050322E11</v>
      </c>
      <c r="F286" s="9" t="s">
        <v>18</v>
      </c>
      <c r="G286" s="11" t="s">
        <v>574</v>
      </c>
      <c r="H286" s="9" t="s">
        <v>175</v>
      </c>
      <c r="I286" s="9">
        <v>1.0</v>
      </c>
      <c r="J286" s="9" t="s">
        <v>38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9" t="s">
        <v>1006</v>
      </c>
      <c r="B287" s="9" t="s">
        <v>1007</v>
      </c>
      <c r="C287" s="9" t="s">
        <v>817</v>
      </c>
      <c r="D287" s="9" t="s">
        <v>576</v>
      </c>
      <c r="E287" s="9">
        <v>1.5091301155E11</v>
      </c>
      <c r="F287" s="9" t="s">
        <v>18</v>
      </c>
      <c r="G287" s="11" t="s">
        <v>574</v>
      </c>
      <c r="H287" s="9" t="s">
        <v>175</v>
      </c>
      <c r="I287" s="9">
        <v>2.0</v>
      </c>
      <c r="J287" s="9" t="s">
        <v>38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9" t="s">
        <v>1008</v>
      </c>
      <c r="B288" s="9" t="s">
        <v>1009</v>
      </c>
      <c r="C288" s="9" t="s">
        <v>925</v>
      </c>
      <c r="D288" s="9" t="s">
        <v>576</v>
      </c>
      <c r="E288" s="9">
        <v>1.50302100634E11</v>
      </c>
      <c r="F288" s="9" t="s">
        <v>18</v>
      </c>
      <c r="G288" s="11" t="s">
        <v>574</v>
      </c>
      <c r="H288" s="9" t="s">
        <v>175</v>
      </c>
      <c r="I288" s="9">
        <v>3.0</v>
      </c>
      <c r="J288" s="9" t="s">
        <v>11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9" t="s">
        <v>1010</v>
      </c>
      <c r="B289" s="9" t="s">
        <v>1011</v>
      </c>
      <c r="C289" s="9" t="s">
        <v>925</v>
      </c>
      <c r="D289" s="9" t="s">
        <v>576</v>
      </c>
      <c r="E289" s="9">
        <v>1.50621010724E11</v>
      </c>
      <c r="F289" s="9" t="s">
        <v>18</v>
      </c>
      <c r="G289" s="11" t="s">
        <v>574</v>
      </c>
      <c r="H289" s="9" t="s">
        <v>175</v>
      </c>
      <c r="I289" s="9">
        <v>4.0</v>
      </c>
      <c r="J289" s="9" t="s">
        <v>11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9" t="s">
        <v>1012</v>
      </c>
      <c r="B290" s="9" t="s">
        <v>1013</v>
      </c>
      <c r="C290" s="9" t="s">
        <v>929</v>
      </c>
      <c r="D290" s="9" t="s">
        <v>576</v>
      </c>
      <c r="E290" s="9">
        <v>1.40223011204E11</v>
      </c>
      <c r="F290" s="9" t="s">
        <v>18</v>
      </c>
      <c r="G290" s="11" t="s">
        <v>574</v>
      </c>
      <c r="H290" s="9" t="s">
        <v>175</v>
      </c>
      <c r="I290" s="9">
        <v>5.0</v>
      </c>
      <c r="J290" s="9" t="s">
        <v>11</v>
      </c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9" t="s">
        <v>1014</v>
      </c>
      <c r="B291" s="9" t="s">
        <v>1015</v>
      </c>
      <c r="C291" s="9" t="s">
        <v>739</v>
      </c>
      <c r="D291" s="9" t="s">
        <v>576</v>
      </c>
      <c r="E291" s="9">
        <v>1.5022701032E11</v>
      </c>
      <c r="F291" s="9" t="s">
        <v>18</v>
      </c>
      <c r="G291" s="11" t="s">
        <v>574</v>
      </c>
      <c r="H291" s="9" t="s">
        <v>175</v>
      </c>
      <c r="I291" s="9">
        <v>6.0</v>
      </c>
      <c r="J291" s="9" t="s">
        <v>11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9" t="s">
        <v>1016</v>
      </c>
      <c r="B292" s="9" t="s">
        <v>1017</v>
      </c>
      <c r="C292" s="9" t="s">
        <v>411</v>
      </c>
      <c r="D292" s="9" t="s">
        <v>576</v>
      </c>
      <c r="E292" s="9">
        <v>1.50415011048E11</v>
      </c>
      <c r="F292" s="9" t="s">
        <v>18</v>
      </c>
      <c r="G292" s="11" t="s">
        <v>574</v>
      </c>
      <c r="H292" s="9" t="s">
        <v>175</v>
      </c>
      <c r="I292" s="9">
        <v>7.0</v>
      </c>
      <c r="J292" s="9" t="s">
        <v>11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9" t="s">
        <v>1018</v>
      </c>
      <c r="B293" s="9" t="s">
        <v>1019</v>
      </c>
      <c r="C293" s="9" t="s">
        <v>748</v>
      </c>
      <c r="D293" s="9" t="s">
        <v>576</v>
      </c>
      <c r="E293" s="9">
        <v>1.50406010676E11</v>
      </c>
      <c r="F293" s="9" t="s">
        <v>18</v>
      </c>
      <c r="G293" s="11" t="s">
        <v>574</v>
      </c>
      <c r="H293" s="9" t="s">
        <v>175</v>
      </c>
      <c r="I293" s="9">
        <v>8.0</v>
      </c>
      <c r="J293" s="9" t="s">
        <v>11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9" t="s">
        <v>1020</v>
      </c>
      <c r="B294" s="9" t="s">
        <v>1021</v>
      </c>
      <c r="C294" s="9" t="s">
        <v>347</v>
      </c>
      <c r="D294" s="9" t="s">
        <v>576</v>
      </c>
      <c r="E294" s="9">
        <v>1.50902060736E11</v>
      </c>
      <c r="F294" s="9" t="s">
        <v>18</v>
      </c>
      <c r="G294" s="11" t="s">
        <v>574</v>
      </c>
      <c r="H294" s="9" t="s">
        <v>175</v>
      </c>
      <c r="I294" s="9">
        <v>9.0</v>
      </c>
      <c r="J294" s="9" t="s">
        <v>11</v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9" t="s">
        <v>1022</v>
      </c>
      <c r="B295" s="9" t="s">
        <v>1023</v>
      </c>
      <c r="C295" s="9" t="s">
        <v>366</v>
      </c>
      <c r="D295" s="9" t="s">
        <v>576</v>
      </c>
      <c r="E295" s="9">
        <v>1.406240108E11</v>
      </c>
      <c r="F295" s="9" t="s">
        <v>18</v>
      </c>
      <c r="G295" s="11" t="s">
        <v>574</v>
      </c>
      <c r="H295" s="9" t="s">
        <v>175</v>
      </c>
      <c r="I295" s="9">
        <v>10.0</v>
      </c>
      <c r="J295" s="9" t="s">
        <v>11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9" t="s">
        <v>1024</v>
      </c>
      <c r="B296" s="9" t="s">
        <v>1025</v>
      </c>
      <c r="C296" s="9" t="s">
        <v>767</v>
      </c>
      <c r="D296" s="9" t="s">
        <v>576</v>
      </c>
      <c r="E296" s="9">
        <v>1.51030010014E11</v>
      </c>
      <c r="F296" s="9" t="s">
        <v>18</v>
      </c>
      <c r="G296" s="11" t="s">
        <v>574</v>
      </c>
      <c r="H296" s="9" t="s">
        <v>175</v>
      </c>
      <c r="I296" s="9">
        <v>11.0</v>
      </c>
      <c r="J296" s="9" t="s">
        <v>11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9" t="s">
        <v>1026</v>
      </c>
      <c r="B297" s="9" t="s">
        <v>1027</v>
      </c>
      <c r="C297" s="9" t="s">
        <v>380</v>
      </c>
      <c r="D297" s="9" t="s">
        <v>576</v>
      </c>
      <c r="E297" s="9">
        <v>1.50619010266E11</v>
      </c>
      <c r="F297" s="9" t="s">
        <v>18</v>
      </c>
      <c r="G297" s="11" t="s">
        <v>574</v>
      </c>
      <c r="H297" s="9" t="s">
        <v>175</v>
      </c>
      <c r="I297" s="9">
        <v>12.0</v>
      </c>
      <c r="J297" s="9" t="s">
        <v>11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9" t="s">
        <v>1028</v>
      </c>
      <c r="B298" s="9" t="s">
        <v>1029</v>
      </c>
      <c r="C298" s="9" t="s">
        <v>773</v>
      </c>
      <c r="D298" s="9" t="s">
        <v>576</v>
      </c>
      <c r="E298" s="9">
        <v>1.507150101E11</v>
      </c>
      <c r="F298" s="9" t="s">
        <v>18</v>
      </c>
      <c r="G298" s="11" t="s">
        <v>574</v>
      </c>
      <c r="H298" s="9" t="s">
        <v>175</v>
      </c>
      <c r="I298" s="9">
        <v>13.0</v>
      </c>
      <c r="J298" s="9" t="s">
        <v>38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9" t="s">
        <v>1030</v>
      </c>
      <c r="B299" s="9" t="s">
        <v>1031</v>
      </c>
      <c r="C299" s="9" t="s">
        <v>359</v>
      </c>
      <c r="D299" s="9" t="s">
        <v>576</v>
      </c>
      <c r="E299" s="9">
        <v>1.50320080622E11</v>
      </c>
      <c r="F299" s="9" t="s">
        <v>18</v>
      </c>
      <c r="G299" s="11" t="s">
        <v>574</v>
      </c>
      <c r="H299" s="9" t="s">
        <v>175</v>
      </c>
      <c r="I299" s="9">
        <v>14.0</v>
      </c>
      <c r="J299" s="9" t="s">
        <v>11</v>
      </c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9" t="s">
        <v>1032</v>
      </c>
      <c r="B300" s="9" t="s">
        <v>1033</v>
      </c>
      <c r="C300" s="9" t="s">
        <v>359</v>
      </c>
      <c r="D300" s="9" t="s">
        <v>576</v>
      </c>
      <c r="E300" s="9">
        <v>1.50406030976E11</v>
      </c>
      <c r="F300" s="9" t="s">
        <v>18</v>
      </c>
      <c r="G300" s="11" t="s">
        <v>574</v>
      </c>
      <c r="H300" s="9" t="s">
        <v>175</v>
      </c>
      <c r="I300" s="9">
        <v>15.0</v>
      </c>
      <c r="J300" s="9" t="s">
        <v>11</v>
      </c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9" t="s">
        <v>1034</v>
      </c>
      <c r="B301" s="9" t="s">
        <v>1035</v>
      </c>
      <c r="C301" s="9" t="s">
        <v>373</v>
      </c>
      <c r="D301" s="9" t="s">
        <v>576</v>
      </c>
      <c r="E301" s="9">
        <v>1.50304030334E11</v>
      </c>
      <c r="F301" s="9" t="s">
        <v>18</v>
      </c>
      <c r="G301" s="11" t="s">
        <v>574</v>
      </c>
      <c r="H301" s="9" t="s">
        <v>175</v>
      </c>
      <c r="I301" s="9">
        <v>16.0</v>
      </c>
      <c r="J301" s="9" t="s">
        <v>11</v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9" t="s">
        <v>1036</v>
      </c>
      <c r="B302" s="9" t="s">
        <v>1037</v>
      </c>
      <c r="C302" s="9" t="s">
        <v>370</v>
      </c>
      <c r="D302" s="9" t="s">
        <v>576</v>
      </c>
      <c r="E302" s="9">
        <v>1.50531110094E11</v>
      </c>
      <c r="F302" s="9" t="s">
        <v>18</v>
      </c>
      <c r="G302" s="11" t="s">
        <v>574</v>
      </c>
      <c r="H302" s="9" t="s">
        <v>175</v>
      </c>
      <c r="I302" s="9">
        <v>17.0</v>
      </c>
      <c r="J302" s="9" t="s">
        <v>11</v>
      </c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9" t="s">
        <v>1038</v>
      </c>
      <c r="B303" s="9" t="s">
        <v>1039</v>
      </c>
      <c r="C303" s="9" t="s">
        <v>796</v>
      </c>
      <c r="D303" s="9" t="s">
        <v>576</v>
      </c>
      <c r="E303" s="9">
        <v>1.40421011328E11</v>
      </c>
      <c r="F303" s="9" t="s">
        <v>18</v>
      </c>
      <c r="G303" s="11" t="s">
        <v>574</v>
      </c>
      <c r="H303" s="9" t="s">
        <v>175</v>
      </c>
      <c r="I303" s="9">
        <v>18.0</v>
      </c>
      <c r="J303" s="9" t="s">
        <v>11</v>
      </c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9" t="s">
        <v>1040</v>
      </c>
      <c r="B304" s="9" t="s">
        <v>1041</v>
      </c>
      <c r="C304" s="9" t="s">
        <v>799</v>
      </c>
      <c r="D304" s="9" t="s">
        <v>576</v>
      </c>
      <c r="E304" s="9">
        <v>1.4111001092E11</v>
      </c>
      <c r="F304" s="9" t="s">
        <v>18</v>
      </c>
      <c r="G304" s="11" t="s">
        <v>574</v>
      </c>
      <c r="H304" s="9" t="s">
        <v>175</v>
      </c>
      <c r="I304" s="9">
        <v>19.0</v>
      </c>
      <c r="J304" s="9" t="s">
        <v>11</v>
      </c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9" t="s">
        <v>1042</v>
      </c>
      <c r="B305" s="9" t="s">
        <v>1043</v>
      </c>
      <c r="C305" s="9" t="s">
        <v>808</v>
      </c>
      <c r="D305" s="9" t="s">
        <v>576</v>
      </c>
      <c r="E305" s="9">
        <v>1.50117010098E11</v>
      </c>
      <c r="F305" s="9" t="s">
        <v>18</v>
      </c>
      <c r="G305" s="11" t="s">
        <v>574</v>
      </c>
      <c r="H305" s="9" t="s">
        <v>175</v>
      </c>
      <c r="I305" s="9">
        <v>20.0</v>
      </c>
      <c r="J305" s="9" t="s">
        <v>11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9" t="s">
        <v>1044</v>
      </c>
      <c r="B306" s="9" t="s">
        <v>1045</v>
      </c>
      <c r="C306" s="9" t="s">
        <v>326</v>
      </c>
      <c r="D306" s="9" t="s">
        <v>576</v>
      </c>
      <c r="E306" s="9">
        <v>1.51205010092E11</v>
      </c>
      <c r="F306" s="9" t="s">
        <v>18</v>
      </c>
      <c r="G306" s="11" t="s">
        <v>574</v>
      </c>
      <c r="H306" s="9" t="s">
        <v>175</v>
      </c>
      <c r="I306" s="9">
        <v>21.0</v>
      </c>
      <c r="J306" s="9" t="s">
        <v>11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32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32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32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32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32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32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32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32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32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32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32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32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32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32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32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32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32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32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32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32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32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32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32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32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32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32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32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32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32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32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32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32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32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32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32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32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32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32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32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32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32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3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32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32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32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32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32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32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3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32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32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32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32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32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32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32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32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32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32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32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32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32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32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32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32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32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32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32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32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32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32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32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32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32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32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32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32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32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32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32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32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32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32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32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32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32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32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32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32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32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32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32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32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32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32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32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32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32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32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32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32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32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32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3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32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32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32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32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32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32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32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32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32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32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32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32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32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32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32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32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32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32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32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32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32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32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32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32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32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32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32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32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32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32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32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32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3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32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32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32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32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32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3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32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32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32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32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32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32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32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32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32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3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32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32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32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3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3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3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32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32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32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32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32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32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32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32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32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32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32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32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32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32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32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32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32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32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32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32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32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32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32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32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32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32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32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32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32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32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32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32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32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32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32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32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32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32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32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32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32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32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32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32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32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32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32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32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32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32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32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32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32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32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32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32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32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32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32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32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32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32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32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32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32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32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32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32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32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32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32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32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32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32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32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32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32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32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32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32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32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32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32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32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32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32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32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32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32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32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32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32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32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32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32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32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32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32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32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32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32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32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32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32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32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32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32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32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32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32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32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32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32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32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32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32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32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32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32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32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32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32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32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32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32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32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32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32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32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32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32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32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32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32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32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32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32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32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32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32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32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32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32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32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32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32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32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32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32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32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32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32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32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32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32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32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32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32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32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32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32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32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32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32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32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32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32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32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32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32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32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32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32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32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32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32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32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32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32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32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32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32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32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32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32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32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32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32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32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32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32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32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32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32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32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32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32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32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32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32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32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32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32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32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32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32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32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32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32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32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32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32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32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32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32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32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32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32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32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32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32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32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32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32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32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32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32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32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32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32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32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32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32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32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32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32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32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32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32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32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32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32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32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32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32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32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32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32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32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32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32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32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32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32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32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32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32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32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32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32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32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32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32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32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32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32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32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32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32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32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32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32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32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32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32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32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32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32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32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32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32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32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32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32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32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32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32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32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32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32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32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32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32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32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32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32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32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32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32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32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32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32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32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32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32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32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32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32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32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32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32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32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32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32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32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32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32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32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32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32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32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32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32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32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32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32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32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32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32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32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32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32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32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32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32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32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32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32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32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32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32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32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32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32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32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32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32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32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32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32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32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32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32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32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32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32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32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32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32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32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32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32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32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32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32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32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32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32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32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32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32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32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32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32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32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32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32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32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32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32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32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32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32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32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32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32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32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32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32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32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32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32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32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32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32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32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32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32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32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32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32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32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32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32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32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32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32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32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32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32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32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32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32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32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32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32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32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32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32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32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32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32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32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32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32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32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32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32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32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32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32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32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32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32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32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32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32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32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32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32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32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32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32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32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32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32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32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32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32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32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32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32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32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32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32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32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32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32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32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32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32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32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32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32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32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32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C932" s="8"/>
      <c r="D932" s="8"/>
      <c r="E932" s="8"/>
      <c r="F932" s="8"/>
      <c r="G932" s="33"/>
      <c r="H932" s="8"/>
      <c r="I932" s="8"/>
      <c r="J932" s="8"/>
    </row>
    <row r="933">
      <c r="C933" s="8"/>
      <c r="D933" s="8"/>
      <c r="E933" s="8"/>
      <c r="F933" s="8"/>
      <c r="G933" s="33"/>
      <c r="H933" s="8"/>
      <c r="I933" s="8"/>
      <c r="J933" s="8"/>
    </row>
    <row r="934">
      <c r="C934" s="8"/>
      <c r="D934" s="8"/>
      <c r="E934" s="8"/>
      <c r="F934" s="8"/>
      <c r="G934" s="33"/>
      <c r="H934" s="8"/>
      <c r="I934" s="8"/>
      <c r="J934" s="8"/>
    </row>
    <row r="935">
      <c r="C935" s="8"/>
      <c r="D935" s="8"/>
      <c r="E935" s="8"/>
      <c r="F935" s="8"/>
      <c r="G935" s="33"/>
      <c r="H935" s="8"/>
      <c r="I935" s="8"/>
      <c r="J935" s="8"/>
    </row>
    <row r="936">
      <c r="C936" s="8"/>
      <c r="D936" s="8"/>
      <c r="E936" s="8"/>
      <c r="F936" s="8"/>
      <c r="G936" s="33"/>
      <c r="H936" s="8"/>
      <c r="I936" s="8"/>
      <c r="J936" s="8"/>
    </row>
    <row r="937">
      <c r="C937" s="8"/>
      <c r="D937" s="8"/>
      <c r="E937" s="8"/>
      <c r="F937" s="8"/>
      <c r="G937" s="33"/>
      <c r="H937" s="8"/>
      <c r="I937" s="8"/>
      <c r="J937" s="8"/>
    </row>
    <row r="938">
      <c r="C938" s="8"/>
      <c r="D938" s="8"/>
      <c r="E938" s="8"/>
      <c r="F938" s="8"/>
      <c r="G938" s="33"/>
      <c r="H938" s="8"/>
      <c r="I938" s="8"/>
      <c r="J938" s="8"/>
    </row>
    <row r="939">
      <c r="C939" s="8"/>
      <c r="D939" s="8"/>
      <c r="E939" s="8"/>
      <c r="F939" s="8"/>
      <c r="G939" s="33"/>
      <c r="H939" s="8"/>
      <c r="I939" s="8"/>
      <c r="J939" s="8"/>
    </row>
    <row r="940">
      <c r="C940" s="8"/>
      <c r="D940" s="8"/>
      <c r="E940" s="8"/>
      <c r="F940" s="8"/>
      <c r="G940" s="33"/>
      <c r="H940" s="8"/>
      <c r="I940" s="8"/>
      <c r="J940" s="8"/>
    </row>
    <row r="941">
      <c r="C941" s="8"/>
      <c r="D941" s="8"/>
      <c r="E941" s="8"/>
      <c r="F941" s="8"/>
      <c r="G941" s="33"/>
      <c r="H941" s="8"/>
      <c r="I941" s="8"/>
      <c r="J941" s="8"/>
    </row>
    <row r="942">
      <c r="C942" s="8"/>
      <c r="D942" s="8"/>
      <c r="E942" s="8"/>
      <c r="F942" s="8"/>
      <c r="G942" s="33"/>
      <c r="H942" s="8"/>
      <c r="I942" s="8"/>
      <c r="J942" s="8"/>
    </row>
    <row r="943">
      <c r="C943" s="8"/>
      <c r="D943" s="8"/>
      <c r="E943" s="8"/>
      <c r="F943" s="8"/>
      <c r="G943" s="33"/>
      <c r="H943" s="8"/>
      <c r="I943" s="8"/>
      <c r="J943" s="8"/>
    </row>
    <row r="944">
      <c r="C944" s="8"/>
      <c r="D944" s="8"/>
      <c r="E944" s="8"/>
      <c r="F944" s="8"/>
      <c r="G944" s="33"/>
      <c r="H944" s="8"/>
      <c r="I944" s="8"/>
      <c r="J944" s="8"/>
    </row>
    <row r="945">
      <c r="C945" s="8"/>
      <c r="D945" s="8"/>
      <c r="E945" s="8"/>
      <c r="F945" s="8"/>
      <c r="G945" s="33"/>
      <c r="H945" s="8"/>
      <c r="I945" s="8"/>
      <c r="J945" s="8"/>
    </row>
    <row r="946">
      <c r="C946" s="8"/>
      <c r="D946" s="8"/>
      <c r="E946" s="8"/>
      <c r="F946" s="8"/>
      <c r="G946" s="33"/>
      <c r="H946" s="8"/>
      <c r="I946" s="8"/>
      <c r="J946" s="8"/>
    </row>
    <row r="947">
      <c r="C947" s="8"/>
      <c r="D947" s="8"/>
      <c r="E947" s="8"/>
      <c r="F947" s="8"/>
      <c r="G947" s="33"/>
      <c r="H947" s="8"/>
      <c r="I947" s="8"/>
      <c r="J947" s="8"/>
    </row>
    <row r="948">
      <c r="C948" s="8"/>
      <c r="D948" s="8"/>
      <c r="E948" s="8"/>
      <c r="F948" s="8"/>
      <c r="G948" s="33"/>
      <c r="H948" s="8"/>
      <c r="I948" s="8"/>
      <c r="J948" s="8"/>
    </row>
    <row r="949">
      <c r="C949" s="8"/>
      <c r="D949" s="8"/>
      <c r="E949" s="8"/>
      <c r="F949" s="8"/>
      <c r="G949" s="33"/>
      <c r="H949" s="8"/>
      <c r="I949" s="8"/>
      <c r="J949" s="8"/>
    </row>
    <row r="950">
      <c r="C950" s="8"/>
      <c r="D950" s="8"/>
      <c r="E950" s="8"/>
      <c r="F950" s="8"/>
      <c r="G950" s="33"/>
      <c r="H950" s="8"/>
      <c r="I950" s="8"/>
      <c r="J950" s="8"/>
    </row>
    <row r="951">
      <c r="C951" s="8"/>
      <c r="D951" s="8"/>
      <c r="E951" s="8"/>
      <c r="F951" s="8"/>
      <c r="G951" s="33"/>
      <c r="H951" s="8"/>
      <c r="I951" s="8"/>
      <c r="J951" s="8"/>
    </row>
    <row r="952">
      <c r="C952" s="8"/>
      <c r="D952" s="8"/>
      <c r="E952" s="8"/>
      <c r="F952" s="8"/>
      <c r="G952" s="33"/>
      <c r="H952" s="8"/>
      <c r="I952" s="8"/>
      <c r="J952" s="8"/>
    </row>
    <row r="953">
      <c r="C953" s="8"/>
      <c r="D953" s="8"/>
      <c r="E953" s="8"/>
      <c r="F953" s="8"/>
      <c r="G953" s="33"/>
      <c r="H953" s="8"/>
      <c r="I953" s="8"/>
      <c r="J953" s="8"/>
    </row>
    <row r="954">
      <c r="C954" s="8"/>
      <c r="D954" s="8"/>
      <c r="E954" s="8"/>
      <c r="F954" s="8"/>
      <c r="G954" s="33"/>
      <c r="H954" s="8"/>
      <c r="I954" s="8"/>
      <c r="J954" s="8"/>
    </row>
    <row r="955">
      <c r="C955" s="8"/>
      <c r="D955" s="8"/>
      <c r="E955" s="8"/>
      <c r="F955" s="8"/>
      <c r="G955" s="33"/>
      <c r="H955" s="8"/>
      <c r="I955" s="8"/>
      <c r="J955" s="8"/>
    </row>
    <row r="956">
      <c r="C956" s="8"/>
      <c r="D956" s="8"/>
      <c r="E956" s="8"/>
      <c r="F956" s="8"/>
      <c r="G956" s="33"/>
      <c r="H956" s="8"/>
      <c r="I956" s="8"/>
      <c r="J956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88"/>
  </cols>
  <sheetData>
    <row r="1">
      <c r="A1" s="1" t="s">
        <v>569</v>
      </c>
      <c r="B1" s="1" t="s">
        <v>571</v>
      </c>
      <c r="C1" s="1" t="s">
        <v>573</v>
      </c>
    </row>
    <row r="2">
      <c r="A2" s="1" t="s">
        <v>574</v>
      </c>
      <c r="B2" s="1" t="s">
        <v>575</v>
      </c>
      <c r="C2" s="1" t="s">
        <v>576</v>
      </c>
    </row>
    <row r="3">
      <c r="A3" s="1" t="s">
        <v>61</v>
      </c>
      <c r="B3" s="1" t="s">
        <v>577</v>
      </c>
      <c r="C3" s="1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12.38"/>
    <col customWidth="1" min="3" max="3" width="53.13"/>
    <col customWidth="1" min="4" max="4" width="22.25"/>
    <col customWidth="1" min="5" max="6" width="15.38"/>
    <col customWidth="1" min="7" max="7" width="14.25"/>
    <col customWidth="1" min="8" max="8" width="14.63"/>
    <col customWidth="1" min="9" max="9" width="9.5"/>
    <col customWidth="1" min="10" max="10" width="18.75"/>
    <col customWidth="1" min="11" max="11" width="15.38"/>
  </cols>
  <sheetData>
    <row r="1" ht="30.0" customHeight="1">
      <c r="A1" s="13" t="s">
        <v>632</v>
      </c>
      <c r="B1" s="13" t="s">
        <v>0</v>
      </c>
      <c r="C1" s="14" t="s">
        <v>1</v>
      </c>
      <c r="D1" s="14" t="s">
        <v>2</v>
      </c>
      <c r="E1" s="13" t="s">
        <v>3</v>
      </c>
      <c r="F1" s="13" t="s">
        <v>4</v>
      </c>
      <c r="G1" s="15" t="s">
        <v>646</v>
      </c>
      <c r="H1" s="16"/>
      <c r="I1" s="17"/>
      <c r="J1" s="13" t="s">
        <v>650</v>
      </c>
      <c r="K1" s="13" t="s">
        <v>651</v>
      </c>
    </row>
    <row r="2" ht="30.0" customHeight="1">
      <c r="A2" s="18"/>
      <c r="B2" s="18"/>
      <c r="C2" s="18"/>
      <c r="D2" s="18"/>
      <c r="E2" s="18"/>
      <c r="F2" s="18"/>
      <c r="G2" s="19" t="s">
        <v>656</v>
      </c>
      <c r="H2" s="19" t="s">
        <v>659</v>
      </c>
      <c r="I2" s="19" t="s">
        <v>660</v>
      </c>
      <c r="J2" s="18"/>
      <c r="K2" s="18"/>
    </row>
    <row r="3" ht="30.0" customHeight="1">
      <c r="A3" s="20">
        <v>1.0</v>
      </c>
      <c r="B3" s="20" t="s">
        <v>663</v>
      </c>
      <c r="C3" s="21" t="s">
        <v>666</v>
      </c>
      <c r="D3" s="20" t="s">
        <v>667</v>
      </c>
      <c r="E3" s="20" t="s">
        <v>10</v>
      </c>
      <c r="F3" s="20" t="s">
        <v>11</v>
      </c>
      <c r="G3" s="22">
        <f>IFERROR(VLOOKUP($B3, MARKAH_TKRS_KAWAD!$B:$BD, 54, FALSE)/95, 0)</f>
        <v>0</v>
      </c>
      <c r="H3" s="22">
        <f>IFERROR(VLOOKUP($B3, MARKAH_TKRS_BANTU_MULA!$B:$L, 11, FALSE)/20, 0)</f>
        <v>0</v>
      </c>
      <c r="I3" s="22">
        <f>IFERROR(VLOOKUP($B3, MARKAH_TKRS_IKATAN!$B:$N, 12, FALSE)/25, 0)</f>
        <v>0.48</v>
      </c>
      <c r="J3" s="22">
        <f t="shared" ref="J3:J163" si="1">IFERROR((G3 * 0.6) + (H3 * 0.2) + (I3 * 0.2), 0)</f>
        <v>0.096</v>
      </c>
      <c r="K3" s="23" t="str">
        <f t="shared" ref="K3:K163" si="2">IF(G3&gt;=0.5, "L", "G") &amp; IF(((H3+I3)/2)&gt;=0.5, "L", "G") &amp; IF(J3&gt;=0.6, "L", "G")</f>
        <v>GGG</v>
      </c>
    </row>
    <row r="4" ht="30.0" customHeight="1">
      <c r="A4" s="24">
        <v>2.0</v>
      </c>
      <c r="B4" s="24" t="s">
        <v>711</v>
      </c>
      <c r="C4" s="25" t="s">
        <v>713</v>
      </c>
      <c r="D4" s="24" t="s">
        <v>715</v>
      </c>
      <c r="E4" s="24" t="s">
        <v>10</v>
      </c>
      <c r="F4" s="24" t="s">
        <v>38</v>
      </c>
      <c r="G4" s="26">
        <f>IFERROR(VLOOKUP($B4, MARKAH_TKRS_KAWAD!$B:$BD, 54, FALSE)/95, 0)</f>
        <v>0</v>
      </c>
      <c r="H4" s="26">
        <f>IFERROR(VLOOKUP($B4, MARKAH_TKRS_BANTU_MULA!$B:$L, 11, FALSE)/20, 0)</f>
        <v>0</v>
      </c>
      <c r="I4" s="26">
        <f>IFERROR(VLOOKUP($B4, MARKAH_TKRS_IKATAN!$B:$N, 12, FALSE)/25, 0)</f>
        <v>0</v>
      </c>
      <c r="J4" s="26">
        <f t="shared" si="1"/>
        <v>0</v>
      </c>
      <c r="K4" s="27" t="str">
        <f t="shared" si="2"/>
        <v>GGG</v>
      </c>
    </row>
    <row r="5" ht="30.0" customHeight="1">
      <c r="A5" s="20">
        <v>3.0</v>
      </c>
      <c r="B5" s="20" t="s">
        <v>730</v>
      </c>
      <c r="C5" s="21" t="s">
        <v>731</v>
      </c>
      <c r="D5" s="20" t="s">
        <v>733</v>
      </c>
      <c r="E5" s="20" t="s">
        <v>10</v>
      </c>
      <c r="F5" s="20" t="s">
        <v>38</v>
      </c>
      <c r="G5" s="22">
        <f>IFERROR(VLOOKUP($B5, MARKAH_TKRS_KAWAD!$B:$BD, 54, FALSE)/95, 0)</f>
        <v>0</v>
      </c>
      <c r="H5" s="22">
        <f>IFERROR(VLOOKUP($B5, MARKAH_TKRS_BANTU_MULA!$B:$L, 11, FALSE)/20, 0)</f>
        <v>0</v>
      </c>
      <c r="I5" s="22">
        <f>IFERROR(VLOOKUP($B5, MARKAH_TKRS_IKATAN!$B:$N, 12, FALSE)/25, 0)</f>
        <v>0</v>
      </c>
      <c r="J5" s="22">
        <f t="shared" si="1"/>
        <v>0</v>
      </c>
      <c r="K5" s="23" t="str">
        <f t="shared" si="2"/>
        <v>GGG</v>
      </c>
    </row>
    <row r="6" ht="30.0" customHeight="1">
      <c r="A6" s="24">
        <v>4.0</v>
      </c>
      <c r="B6" s="24" t="s">
        <v>737</v>
      </c>
      <c r="C6" s="25" t="s">
        <v>738</v>
      </c>
      <c r="D6" s="24" t="s">
        <v>739</v>
      </c>
      <c r="E6" s="24" t="s">
        <v>10</v>
      </c>
      <c r="F6" s="24" t="s">
        <v>11</v>
      </c>
      <c r="G6" s="26">
        <f>IFERROR(VLOOKUP($B6, MARKAH_TKRS_KAWAD!$B:$BD, 54, FALSE)/95, 0)</f>
        <v>0</v>
      </c>
      <c r="H6" s="26">
        <f>IFERROR(VLOOKUP($B6, MARKAH_TKRS_BANTU_MULA!$B:$L, 11, FALSE)/20, 0)</f>
        <v>0</v>
      </c>
      <c r="I6" s="26">
        <f>IFERROR(VLOOKUP($B6, MARKAH_TKRS_IKATAN!$B:$N, 12, FALSE)/25, 0)</f>
        <v>0</v>
      </c>
      <c r="J6" s="26">
        <f t="shared" si="1"/>
        <v>0</v>
      </c>
      <c r="K6" s="27" t="str">
        <f t="shared" si="2"/>
        <v>GGG</v>
      </c>
    </row>
    <row r="7" ht="30.0" customHeight="1">
      <c r="A7" s="20">
        <v>5.0</v>
      </c>
      <c r="B7" s="20" t="s">
        <v>740</v>
      </c>
      <c r="C7" s="21" t="s">
        <v>741</v>
      </c>
      <c r="D7" s="20" t="s">
        <v>742</v>
      </c>
      <c r="E7" s="20" t="s">
        <v>10</v>
      </c>
      <c r="F7" s="20" t="s">
        <v>11</v>
      </c>
      <c r="G7" s="22">
        <f>IFERROR(VLOOKUP($B7, MARKAH_TKRS_KAWAD!$B:$BD, 54, FALSE)/95, 0)</f>
        <v>0</v>
      </c>
      <c r="H7" s="22">
        <f>IFERROR(VLOOKUP($B7, MARKAH_TKRS_BANTU_MULA!$B:$L, 11, FALSE)/20, 0)</f>
        <v>0</v>
      </c>
      <c r="I7" s="22">
        <f>IFERROR(VLOOKUP($B7, MARKAH_TKRS_IKATAN!$B:$N, 12, FALSE)/25, 0)</f>
        <v>0</v>
      </c>
      <c r="J7" s="22">
        <f t="shared" si="1"/>
        <v>0</v>
      </c>
      <c r="K7" s="23" t="str">
        <f t="shared" si="2"/>
        <v>GGG</v>
      </c>
    </row>
    <row r="8" ht="30.0" customHeight="1">
      <c r="A8" s="24">
        <v>6.0</v>
      </c>
      <c r="B8" s="24" t="s">
        <v>743</v>
      </c>
      <c r="C8" s="25" t="s">
        <v>744</v>
      </c>
      <c r="D8" s="24" t="s">
        <v>745</v>
      </c>
      <c r="E8" s="24" t="s">
        <v>10</v>
      </c>
      <c r="F8" s="24" t="s">
        <v>11</v>
      </c>
      <c r="G8" s="26">
        <f>IFERROR(VLOOKUP($B8, MARKAH_TKRS_KAWAD!$B:$BD, 54, FALSE)/95, 0)</f>
        <v>0</v>
      </c>
      <c r="H8" s="26">
        <f>IFERROR(VLOOKUP($B8, MARKAH_TKRS_BANTU_MULA!$B:$L, 11, FALSE)/20, 0)</f>
        <v>0</v>
      </c>
      <c r="I8" s="26">
        <f>IFERROR(VLOOKUP($B8, MARKAH_TKRS_IKATAN!$B:$N, 12, FALSE)/25, 0)</f>
        <v>0</v>
      </c>
      <c r="J8" s="26">
        <f t="shared" si="1"/>
        <v>0</v>
      </c>
      <c r="K8" s="27" t="str">
        <f t="shared" si="2"/>
        <v>GGG</v>
      </c>
    </row>
    <row r="9" ht="30.0" customHeight="1">
      <c r="A9" s="20">
        <v>7.0</v>
      </c>
      <c r="B9" s="20" t="s">
        <v>746</v>
      </c>
      <c r="C9" s="21" t="s">
        <v>747</v>
      </c>
      <c r="D9" s="20" t="s">
        <v>748</v>
      </c>
      <c r="E9" s="20" t="s">
        <v>10</v>
      </c>
      <c r="F9" s="20" t="s">
        <v>11</v>
      </c>
      <c r="G9" s="22">
        <f>IFERROR(VLOOKUP($B9, MARKAH_TKRS_KAWAD!$B:$BD, 54, FALSE)/95, 0)</f>
        <v>0</v>
      </c>
      <c r="H9" s="22">
        <f>IFERROR(VLOOKUP($B9, MARKAH_TKRS_BANTU_MULA!$B:$L, 11, FALSE)/20, 0)</f>
        <v>0</v>
      </c>
      <c r="I9" s="22">
        <f>IFERROR(VLOOKUP($B9, MARKAH_TKRS_IKATAN!$B:$N, 12, FALSE)/25, 0)</f>
        <v>0</v>
      </c>
      <c r="J9" s="22">
        <f t="shared" si="1"/>
        <v>0</v>
      </c>
      <c r="K9" s="23" t="str">
        <f t="shared" si="2"/>
        <v>GGG</v>
      </c>
    </row>
    <row r="10" ht="30.0" customHeight="1">
      <c r="A10" s="24">
        <v>8.0</v>
      </c>
      <c r="B10" s="24" t="s">
        <v>749</v>
      </c>
      <c r="C10" s="25" t="s">
        <v>750</v>
      </c>
      <c r="D10" s="24" t="s">
        <v>751</v>
      </c>
      <c r="E10" s="24" t="s">
        <v>10</v>
      </c>
      <c r="F10" s="24" t="s">
        <v>11</v>
      </c>
      <c r="G10" s="26">
        <f>IFERROR(VLOOKUP($B10, MARKAH_TKRS_KAWAD!$B:$BD, 54, FALSE)/95, 0)</f>
        <v>0</v>
      </c>
      <c r="H10" s="26">
        <f>IFERROR(VLOOKUP($B10, MARKAH_TKRS_BANTU_MULA!$B:$L, 11, FALSE)/20, 0)</f>
        <v>0</v>
      </c>
      <c r="I10" s="26">
        <f>IFERROR(VLOOKUP($B10, MARKAH_TKRS_IKATAN!$B:$N, 12, FALSE)/25, 0)</f>
        <v>0</v>
      </c>
      <c r="J10" s="26">
        <f t="shared" si="1"/>
        <v>0</v>
      </c>
      <c r="K10" s="27" t="str">
        <f t="shared" si="2"/>
        <v>GGG</v>
      </c>
    </row>
    <row r="11" ht="30.0" customHeight="1">
      <c r="A11" s="20">
        <v>9.0</v>
      </c>
      <c r="B11" s="20" t="s">
        <v>752</v>
      </c>
      <c r="C11" s="21" t="s">
        <v>753</v>
      </c>
      <c r="D11" s="20" t="s">
        <v>326</v>
      </c>
      <c r="E11" s="20" t="s">
        <v>10</v>
      </c>
      <c r="F11" s="20" t="s">
        <v>11</v>
      </c>
      <c r="G11" s="22">
        <f>IFERROR(VLOOKUP($B11, MARKAH_TKRS_KAWAD!$B:$BD, 54, FALSE)/95, 0)</f>
        <v>0</v>
      </c>
      <c r="H11" s="22">
        <f>IFERROR(VLOOKUP($B11, MARKAH_TKRS_BANTU_MULA!$B:$L, 11, FALSE)/20, 0)</f>
        <v>0</v>
      </c>
      <c r="I11" s="22">
        <f>IFERROR(VLOOKUP($B11, MARKAH_TKRS_IKATAN!$B:$N, 12, FALSE)/25, 0)</f>
        <v>0</v>
      </c>
      <c r="J11" s="22">
        <f t="shared" si="1"/>
        <v>0</v>
      </c>
      <c r="K11" s="23" t="str">
        <f t="shared" si="2"/>
        <v>GGG</v>
      </c>
    </row>
    <row r="12" ht="30.0" customHeight="1">
      <c r="A12" s="24">
        <v>10.0</v>
      </c>
      <c r="B12" s="24" t="s">
        <v>754</v>
      </c>
      <c r="C12" s="25" t="s">
        <v>755</v>
      </c>
      <c r="D12" s="24" t="s">
        <v>756</v>
      </c>
      <c r="E12" s="24" t="s">
        <v>10</v>
      </c>
      <c r="F12" s="24" t="s">
        <v>11</v>
      </c>
      <c r="G12" s="26">
        <f>IFERROR(VLOOKUP($B12, MARKAH_TKRS_KAWAD!$B:$BD, 54, FALSE)/95, 0)</f>
        <v>0</v>
      </c>
      <c r="H12" s="26">
        <f>IFERROR(VLOOKUP($B12, MARKAH_TKRS_BANTU_MULA!$B:$L, 11, FALSE)/20, 0)</f>
        <v>0</v>
      </c>
      <c r="I12" s="26">
        <f>IFERROR(VLOOKUP($B12, MARKAH_TKRS_IKATAN!$B:$N, 12, FALSE)/25, 0)</f>
        <v>0</v>
      </c>
      <c r="J12" s="26">
        <f t="shared" si="1"/>
        <v>0</v>
      </c>
      <c r="K12" s="27" t="str">
        <f t="shared" si="2"/>
        <v>GGG</v>
      </c>
    </row>
    <row r="13" ht="30.0" customHeight="1">
      <c r="A13" s="20">
        <v>11.0</v>
      </c>
      <c r="B13" s="20" t="s">
        <v>757</v>
      </c>
      <c r="C13" s="21" t="s">
        <v>758</v>
      </c>
      <c r="D13" s="20" t="s">
        <v>756</v>
      </c>
      <c r="E13" s="20" t="s">
        <v>10</v>
      </c>
      <c r="F13" s="20" t="s">
        <v>11</v>
      </c>
      <c r="G13" s="22">
        <f>IFERROR(VLOOKUP($B13, MARKAH_TKRS_KAWAD!$B:$BD, 54, FALSE)/95, 0)</f>
        <v>0</v>
      </c>
      <c r="H13" s="22">
        <f>IFERROR(VLOOKUP($B13, MARKAH_TKRS_BANTU_MULA!$B:$L, 11, FALSE)/20, 0)</f>
        <v>0</v>
      </c>
      <c r="I13" s="22">
        <f>IFERROR(VLOOKUP($B13, MARKAH_TKRS_IKATAN!$B:$N, 12, FALSE)/25, 0)</f>
        <v>0</v>
      </c>
      <c r="J13" s="22">
        <f t="shared" si="1"/>
        <v>0</v>
      </c>
      <c r="K13" s="23" t="str">
        <f t="shared" si="2"/>
        <v>GGG</v>
      </c>
    </row>
    <row r="14" ht="30.0" customHeight="1">
      <c r="A14" s="24">
        <v>12.0</v>
      </c>
      <c r="B14" s="24" t="s">
        <v>759</v>
      </c>
      <c r="C14" s="25" t="s">
        <v>760</v>
      </c>
      <c r="D14" s="24" t="s">
        <v>366</v>
      </c>
      <c r="E14" s="24" t="s">
        <v>10</v>
      </c>
      <c r="F14" s="24" t="s">
        <v>11</v>
      </c>
      <c r="G14" s="26">
        <f>IFERROR(VLOOKUP($B14, MARKAH_TKRS_KAWAD!$B:$BD, 54, FALSE)/95, 0)</f>
        <v>0</v>
      </c>
      <c r="H14" s="26">
        <f>IFERROR(VLOOKUP($B14, MARKAH_TKRS_BANTU_MULA!$B:$L, 11, FALSE)/20, 0)</f>
        <v>0</v>
      </c>
      <c r="I14" s="26">
        <f>IFERROR(VLOOKUP($B14, MARKAH_TKRS_IKATAN!$B:$N, 12, FALSE)/25, 0)</f>
        <v>0</v>
      </c>
      <c r="J14" s="26">
        <f t="shared" si="1"/>
        <v>0</v>
      </c>
      <c r="K14" s="27" t="str">
        <f t="shared" si="2"/>
        <v>GGG</v>
      </c>
    </row>
    <row r="15" ht="30.0" customHeight="1">
      <c r="A15" s="20">
        <v>13.0</v>
      </c>
      <c r="B15" s="20" t="s">
        <v>761</v>
      </c>
      <c r="C15" s="21" t="s">
        <v>762</v>
      </c>
      <c r="D15" s="20" t="s">
        <v>366</v>
      </c>
      <c r="E15" s="20" t="s">
        <v>10</v>
      </c>
      <c r="F15" s="20" t="s">
        <v>11</v>
      </c>
      <c r="G15" s="22">
        <f>IFERROR(VLOOKUP($B15, MARKAH_TKRS_KAWAD!$B:$BD, 54, FALSE)/95, 0)</f>
        <v>0</v>
      </c>
      <c r="H15" s="22">
        <f>IFERROR(VLOOKUP($B15, MARKAH_TKRS_BANTU_MULA!$B:$L, 11, FALSE)/20, 0)</f>
        <v>0</v>
      </c>
      <c r="I15" s="22">
        <f>IFERROR(VLOOKUP($B15, MARKAH_TKRS_IKATAN!$B:$N, 12, FALSE)/25, 0)</f>
        <v>0</v>
      </c>
      <c r="J15" s="22">
        <f t="shared" si="1"/>
        <v>0</v>
      </c>
      <c r="K15" s="23" t="str">
        <f t="shared" si="2"/>
        <v>GGG</v>
      </c>
    </row>
    <row r="16" ht="30.0" customHeight="1">
      <c r="A16" s="24">
        <v>14.0</v>
      </c>
      <c r="B16" s="24" t="s">
        <v>763</v>
      </c>
      <c r="C16" s="25" t="s">
        <v>764</v>
      </c>
      <c r="D16" s="24" t="s">
        <v>366</v>
      </c>
      <c r="E16" s="24" t="s">
        <v>10</v>
      </c>
      <c r="F16" s="24" t="s">
        <v>11</v>
      </c>
      <c r="G16" s="26">
        <f>IFERROR(VLOOKUP($B16, MARKAH_TKRS_KAWAD!$B:$BD, 54, FALSE)/95, 0)</f>
        <v>0</v>
      </c>
      <c r="H16" s="26">
        <f>IFERROR(VLOOKUP($B16, MARKAH_TKRS_BANTU_MULA!$B:$L, 11, FALSE)/20, 0)</f>
        <v>0</v>
      </c>
      <c r="I16" s="26">
        <f>IFERROR(VLOOKUP($B16, MARKAH_TKRS_IKATAN!$B:$N, 12, FALSE)/25, 0)</f>
        <v>0</v>
      </c>
      <c r="J16" s="26">
        <f t="shared" si="1"/>
        <v>0</v>
      </c>
      <c r="K16" s="27" t="str">
        <f t="shared" si="2"/>
        <v>GGG</v>
      </c>
    </row>
    <row r="17" ht="30.0" customHeight="1">
      <c r="A17" s="20">
        <v>15.0</v>
      </c>
      <c r="B17" s="20" t="s">
        <v>765</v>
      </c>
      <c r="C17" s="21" t="s">
        <v>766</v>
      </c>
      <c r="D17" s="20" t="s">
        <v>767</v>
      </c>
      <c r="E17" s="20" t="s">
        <v>10</v>
      </c>
      <c r="F17" s="20" t="s">
        <v>11</v>
      </c>
      <c r="G17" s="22">
        <f>IFERROR(VLOOKUP($B17, MARKAH_TKRS_KAWAD!$B:$BD, 54, FALSE)/95, 0)</f>
        <v>0</v>
      </c>
      <c r="H17" s="22">
        <f>IFERROR(VLOOKUP($B17, MARKAH_TKRS_BANTU_MULA!$B:$L, 11, FALSE)/20, 0)</f>
        <v>0</v>
      </c>
      <c r="I17" s="22">
        <f>IFERROR(VLOOKUP($B17, MARKAH_TKRS_IKATAN!$B:$N, 12, FALSE)/25, 0)</f>
        <v>0</v>
      </c>
      <c r="J17" s="22">
        <f t="shared" si="1"/>
        <v>0</v>
      </c>
      <c r="K17" s="23" t="str">
        <f t="shared" si="2"/>
        <v>GGG</v>
      </c>
    </row>
    <row r="18" ht="30.0" customHeight="1">
      <c r="A18" s="24">
        <v>16.0</v>
      </c>
      <c r="B18" s="24" t="s">
        <v>768</v>
      </c>
      <c r="C18" s="25" t="s">
        <v>769</v>
      </c>
      <c r="D18" s="24" t="s">
        <v>770</v>
      </c>
      <c r="E18" s="24" t="s">
        <v>10</v>
      </c>
      <c r="F18" s="24" t="s">
        <v>11</v>
      </c>
      <c r="G18" s="26">
        <f>IFERROR(VLOOKUP($B18, MARKAH_TKRS_KAWAD!$B:$BD, 54, FALSE)/95, 0)</f>
        <v>0</v>
      </c>
      <c r="H18" s="26">
        <f>IFERROR(VLOOKUP($B18, MARKAH_TKRS_BANTU_MULA!$B:$L, 11, FALSE)/20, 0)</f>
        <v>0</v>
      </c>
      <c r="I18" s="26">
        <f>IFERROR(VLOOKUP($B18, MARKAH_TKRS_IKATAN!$B:$N, 12, FALSE)/25, 0)</f>
        <v>0</v>
      </c>
      <c r="J18" s="26">
        <f t="shared" si="1"/>
        <v>0</v>
      </c>
      <c r="K18" s="27" t="str">
        <f t="shared" si="2"/>
        <v>GGG</v>
      </c>
    </row>
    <row r="19" ht="30.0" customHeight="1">
      <c r="A19" s="20">
        <v>17.0</v>
      </c>
      <c r="B19" s="20" t="s">
        <v>771</v>
      </c>
      <c r="C19" s="21" t="s">
        <v>772</v>
      </c>
      <c r="D19" s="20" t="s">
        <v>773</v>
      </c>
      <c r="E19" s="20" t="s">
        <v>10</v>
      </c>
      <c r="F19" s="20" t="s">
        <v>38</v>
      </c>
      <c r="G19" s="22">
        <f>IFERROR(VLOOKUP($B19, MARKAH_TKRS_KAWAD!$B:$BD, 54, FALSE)/95, 0)</f>
        <v>0</v>
      </c>
      <c r="H19" s="22">
        <f>IFERROR(VLOOKUP($B19, MARKAH_TKRS_BANTU_MULA!$B:$L, 11, FALSE)/20, 0)</f>
        <v>0</v>
      </c>
      <c r="I19" s="22">
        <f>IFERROR(VLOOKUP($B19, MARKAH_TKRS_IKATAN!$B:$N, 12, FALSE)/25, 0)</f>
        <v>0</v>
      </c>
      <c r="J19" s="22">
        <f t="shared" si="1"/>
        <v>0</v>
      </c>
      <c r="K19" s="23" t="str">
        <f t="shared" si="2"/>
        <v>GGG</v>
      </c>
    </row>
    <row r="20" ht="30.0" customHeight="1">
      <c r="A20" s="24">
        <v>18.0</v>
      </c>
      <c r="B20" s="24" t="s">
        <v>774</v>
      </c>
      <c r="C20" s="25" t="s">
        <v>775</v>
      </c>
      <c r="D20" s="24" t="s">
        <v>318</v>
      </c>
      <c r="E20" s="24" t="s">
        <v>10</v>
      </c>
      <c r="F20" s="24" t="s">
        <v>11</v>
      </c>
      <c r="G20" s="26">
        <f>IFERROR(VLOOKUP($B20, MARKAH_TKRS_KAWAD!$B:$BD, 54, FALSE)/95, 0)</f>
        <v>0</v>
      </c>
      <c r="H20" s="26">
        <f>IFERROR(VLOOKUP($B20, MARKAH_TKRS_BANTU_MULA!$B:$L, 11, FALSE)/20, 0)</f>
        <v>0</v>
      </c>
      <c r="I20" s="26">
        <f>IFERROR(VLOOKUP($B20, MARKAH_TKRS_IKATAN!$B:$N, 12, FALSE)/25, 0)</f>
        <v>0</v>
      </c>
      <c r="J20" s="26">
        <f t="shared" si="1"/>
        <v>0</v>
      </c>
      <c r="K20" s="27" t="str">
        <f t="shared" si="2"/>
        <v>GGG</v>
      </c>
    </row>
    <row r="21" ht="30.0" customHeight="1">
      <c r="A21" s="20">
        <v>19.0</v>
      </c>
      <c r="B21" s="20" t="s">
        <v>776</v>
      </c>
      <c r="C21" s="21" t="s">
        <v>777</v>
      </c>
      <c r="D21" s="20" t="s">
        <v>359</v>
      </c>
      <c r="E21" s="20" t="s">
        <v>10</v>
      </c>
      <c r="F21" s="20" t="s">
        <v>11</v>
      </c>
      <c r="G21" s="22">
        <f>IFERROR(VLOOKUP($B21, MARKAH_TKRS_KAWAD!$B:$BD, 54, FALSE)/95, 0)</f>
        <v>0</v>
      </c>
      <c r="H21" s="22">
        <f>IFERROR(VLOOKUP($B21, MARKAH_TKRS_BANTU_MULA!$B:$L, 11, FALSE)/20, 0)</f>
        <v>0</v>
      </c>
      <c r="I21" s="22">
        <f>IFERROR(VLOOKUP($B21, MARKAH_TKRS_IKATAN!$B:$N, 12, FALSE)/25, 0)</f>
        <v>0</v>
      </c>
      <c r="J21" s="22">
        <f t="shared" si="1"/>
        <v>0</v>
      </c>
      <c r="K21" s="23" t="str">
        <f t="shared" si="2"/>
        <v>GGG</v>
      </c>
    </row>
    <row r="22" ht="30.0" customHeight="1">
      <c r="A22" s="24">
        <v>20.0</v>
      </c>
      <c r="B22" s="24" t="s">
        <v>778</v>
      </c>
      <c r="C22" s="25" t="s">
        <v>779</v>
      </c>
      <c r="D22" s="24" t="s">
        <v>359</v>
      </c>
      <c r="E22" s="24" t="s">
        <v>10</v>
      </c>
      <c r="F22" s="24" t="s">
        <v>11</v>
      </c>
      <c r="G22" s="26">
        <f>IFERROR(VLOOKUP($B22, MARKAH_TKRS_KAWAD!$B:$BD, 54, FALSE)/95, 0)</f>
        <v>0</v>
      </c>
      <c r="H22" s="26">
        <f>IFERROR(VLOOKUP($B22, MARKAH_TKRS_BANTU_MULA!$B:$L, 11, FALSE)/20, 0)</f>
        <v>0</v>
      </c>
      <c r="I22" s="26">
        <f>IFERROR(VLOOKUP($B22, MARKAH_TKRS_IKATAN!$B:$N, 12, FALSE)/25, 0)</f>
        <v>0</v>
      </c>
      <c r="J22" s="26">
        <f t="shared" si="1"/>
        <v>0</v>
      </c>
      <c r="K22" s="27" t="str">
        <f t="shared" si="2"/>
        <v>GGG</v>
      </c>
    </row>
    <row r="23" ht="30.0" customHeight="1">
      <c r="A23" s="20">
        <v>21.0</v>
      </c>
      <c r="B23" s="20" t="s">
        <v>780</v>
      </c>
      <c r="C23" s="21" t="s">
        <v>781</v>
      </c>
      <c r="D23" s="20" t="s">
        <v>390</v>
      </c>
      <c r="E23" s="20" t="s">
        <v>10</v>
      </c>
      <c r="F23" s="20" t="s">
        <v>11</v>
      </c>
      <c r="G23" s="22">
        <f>IFERROR(VLOOKUP($B23, MARKAH_TKRS_KAWAD!$B:$BD, 54, FALSE)/95, 0)</f>
        <v>0</v>
      </c>
      <c r="H23" s="22">
        <f>IFERROR(VLOOKUP($B23, MARKAH_TKRS_BANTU_MULA!$B:$L, 11, FALSE)/20, 0)</f>
        <v>0</v>
      </c>
      <c r="I23" s="22">
        <f>IFERROR(VLOOKUP($B23, MARKAH_TKRS_IKATAN!$B:$N, 12, FALSE)/25, 0)</f>
        <v>0</v>
      </c>
      <c r="J23" s="22">
        <f t="shared" si="1"/>
        <v>0</v>
      </c>
      <c r="K23" s="23" t="str">
        <f t="shared" si="2"/>
        <v>GGG</v>
      </c>
    </row>
    <row r="24" ht="30.0" customHeight="1">
      <c r="A24" s="24">
        <v>22.0</v>
      </c>
      <c r="B24" s="24" t="s">
        <v>782</v>
      </c>
      <c r="C24" s="25" t="s">
        <v>783</v>
      </c>
      <c r="D24" s="24" t="s">
        <v>784</v>
      </c>
      <c r="E24" s="24" t="s">
        <v>10</v>
      </c>
      <c r="F24" s="24" t="s">
        <v>11</v>
      </c>
      <c r="G24" s="26">
        <f>IFERROR(VLOOKUP($B24, MARKAH_TKRS_KAWAD!$B:$BD, 54, FALSE)/95, 0)</f>
        <v>0</v>
      </c>
      <c r="H24" s="26">
        <f>IFERROR(VLOOKUP($B24, MARKAH_TKRS_BANTU_MULA!$B:$L, 11, FALSE)/20, 0)</f>
        <v>0</v>
      </c>
      <c r="I24" s="26">
        <f>IFERROR(VLOOKUP($B24, MARKAH_TKRS_IKATAN!$B:$N, 12, FALSE)/25, 0)</f>
        <v>0</v>
      </c>
      <c r="J24" s="26">
        <f t="shared" si="1"/>
        <v>0</v>
      </c>
      <c r="K24" s="27" t="str">
        <f t="shared" si="2"/>
        <v>GGG</v>
      </c>
    </row>
    <row r="25" ht="30.0" customHeight="1">
      <c r="A25" s="20">
        <v>23.0</v>
      </c>
      <c r="B25" s="20" t="s">
        <v>785</v>
      </c>
      <c r="C25" s="21" t="s">
        <v>786</v>
      </c>
      <c r="D25" s="20" t="s">
        <v>784</v>
      </c>
      <c r="E25" s="20" t="s">
        <v>10</v>
      </c>
      <c r="F25" s="20" t="s">
        <v>11</v>
      </c>
      <c r="G25" s="22">
        <f>IFERROR(VLOOKUP($B25, MARKAH_TKRS_KAWAD!$B:$BD, 54, FALSE)/95, 0)</f>
        <v>0</v>
      </c>
      <c r="H25" s="22">
        <f>IFERROR(VLOOKUP($B25, MARKAH_TKRS_BANTU_MULA!$B:$L, 11, FALSE)/20, 0)</f>
        <v>0</v>
      </c>
      <c r="I25" s="22">
        <f>IFERROR(VLOOKUP($B25, MARKAH_TKRS_IKATAN!$B:$N, 12, FALSE)/25, 0)</f>
        <v>0</v>
      </c>
      <c r="J25" s="22">
        <f t="shared" si="1"/>
        <v>0</v>
      </c>
      <c r="K25" s="23" t="str">
        <f t="shared" si="2"/>
        <v>GGG</v>
      </c>
    </row>
    <row r="26" ht="30.0" customHeight="1">
      <c r="A26" s="24">
        <v>24.0</v>
      </c>
      <c r="B26" s="24" t="s">
        <v>787</v>
      </c>
      <c r="C26" s="25" t="s">
        <v>788</v>
      </c>
      <c r="D26" s="24" t="s">
        <v>789</v>
      </c>
      <c r="E26" s="24" t="s">
        <v>10</v>
      </c>
      <c r="F26" s="24" t="s">
        <v>11</v>
      </c>
      <c r="G26" s="26">
        <f>IFERROR(VLOOKUP($B26, MARKAH_TKRS_KAWAD!$B:$BD, 54, FALSE)/95, 0)</f>
        <v>0</v>
      </c>
      <c r="H26" s="26">
        <f>IFERROR(VLOOKUP($B26, MARKAH_TKRS_BANTU_MULA!$B:$L, 11, FALSE)/20, 0)</f>
        <v>0</v>
      </c>
      <c r="I26" s="26">
        <f>IFERROR(VLOOKUP($B26, MARKAH_TKRS_IKATAN!$B:$N, 12, FALSE)/25, 0)</f>
        <v>0</v>
      </c>
      <c r="J26" s="26">
        <f t="shared" si="1"/>
        <v>0</v>
      </c>
      <c r="K26" s="27" t="str">
        <f t="shared" si="2"/>
        <v>GGG</v>
      </c>
    </row>
    <row r="27" ht="30.0" customHeight="1">
      <c r="A27" s="20">
        <v>25.0</v>
      </c>
      <c r="B27" s="20" t="s">
        <v>790</v>
      </c>
      <c r="C27" s="21" t="s">
        <v>791</v>
      </c>
      <c r="D27" s="20" t="s">
        <v>373</v>
      </c>
      <c r="E27" s="20" t="s">
        <v>10</v>
      </c>
      <c r="F27" s="20" t="s">
        <v>11</v>
      </c>
      <c r="G27" s="22">
        <f>IFERROR(VLOOKUP($B27, MARKAH_TKRS_KAWAD!$B:$BD, 54, FALSE)/95, 0)</f>
        <v>0</v>
      </c>
      <c r="H27" s="22">
        <f>IFERROR(VLOOKUP($B27, MARKAH_TKRS_BANTU_MULA!$B:$L, 11, FALSE)/20, 0)</f>
        <v>0</v>
      </c>
      <c r="I27" s="22">
        <f>IFERROR(VLOOKUP($B27, MARKAH_TKRS_IKATAN!$B:$N, 12, FALSE)/25, 0)</f>
        <v>0</v>
      </c>
      <c r="J27" s="22">
        <f t="shared" si="1"/>
        <v>0</v>
      </c>
      <c r="K27" s="23" t="str">
        <f t="shared" si="2"/>
        <v>GGG</v>
      </c>
    </row>
    <row r="28" ht="30.0" customHeight="1">
      <c r="A28" s="24">
        <v>26.0</v>
      </c>
      <c r="B28" s="24" t="s">
        <v>792</v>
      </c>
      <c r="C28" s="25" t="s">
        <v>793</v>
      </c>
      <c r="D28" s="24" t="s">
        <v>370</v>
      </c>
      <c r="E28" s="24" t="s">
        <v>10</v>
      </c>
      <c r="F28" s="24" t="s">
        <v>11</v>
      </c>
      <c r="G28" s="26">
        <f>IFERROR(VLOOKUP($B28, MARKAH_TKRS_KAWAD!$B:$BD, 54, FALSE)/95, 0)</f>
        <v>0</v>
      </c>
      <c r="H28" s="26">
        <f>IFERROR(VLOOKUP($B28, MARKAH_TKRS_BANTU_MULA!$B:$L, 11, FALSE)/20, 0)</f>
        <v>0</v>
      </c>
      <c r="I28" s="26">
        <f>IFERROR(VLOOKUP($B28, MARKAH_TKRS_IKATAN!$B:$N, 12, FALSE)/25, 0)</f>
        <v>0</v>
      </c>
      <c r="J28" s="26">
        <f t="shared" si="1"/>
        <v>0</v>
      </c>
      <c r="K28" s="27" t="str">
        <f t="shared" si="2"/>
        <v>GGG</v>
      </c>
    </row>
    <row r="29" ht="30.0" customHeight="1">
      <c r="A29" s="20">
        <v>27.0</v>
      </c>
      <c r="B29" s="20" t="s">
        <v>794</v>
      </c>
      <c r="C29" s="21" t="s">
        <v>795</v>
      </c>
      <c r="D29" s="20" t="s">
        <v>796</v>
      </c>
      <c r="E29" s="20" t="s">
        <v>10</v>
      </c>
      <c r="F29" s="20" t="s">
        <v>11</v>
      </c>
      <c r="G29" s="22">
        <f>IFERROR(VLOOKUP($B29, MARKAH_TKRS_KAWAD!$B:$BD, 54, FALSE)/95, 0)</f>
        <v>0</v>
      </c>
      <c r="H29" s="22">
        <f>IFERROR(VLOOKUP($B29, MARKAH_TKRS_BANTU_MULA!$B:$L, 11, FALSE)/20, 0)</f>
        <v>0</v>
      </c>
      <c r="I29" s="22">
        <f>IFERROR(VLOOKUP($B29, MARKAH_TKRS_IKATAN!$B:$N, 12, FALSE)/25, 0)</f>
        <v>0</v>
      </c>
      <c r="J29" s="22">
        <f t="shared" si="1"/>
        <v>0</v>
      </c>
      <c r="K29" s="23" t="str">
        <f t="shared" si="2"/>
        <v>GGG</v>
      </c>
    </row>
    <row r="30" ht="30.0" customHeight="1">
      <c r="A30" s="24">
        <v>28.0</v>
      </c>
      <c r="B30" s="24" t="s">
        <v>797</v>
      </c>
      <c r="C30" s="25" t="s">
        <v>798</v>
      </c>
      <c r="D30" s="24" t="s">
        <v>799</v>
      </c>
      <c r="E30" s="24" t="s">
        <v>10</v>
      </c>
      <c r="F30" s="24" t="s">
        <v>11</v>
      </c>
      <c r="G30" s="26">
        <f>IFERROR(VLOOKUP($B30, MARKAH_TKRS_KAWAD!$B:$BD, 54, FALSE)/95, 0)</f>
        <v>0</v>
      </c>
      <c r="H30" s="26">
        <f>IFERROR(VLOOKUP($B30, MARKAH_TKRS_BANTU_MULA!$B:$L, 11, FALSE)/20, 0)</f>
        <v>0</v>
      </c>
      <c r="I30" s="26">
        <f>IFERROR(VLOOKUP($B30, MARKAH_TKRS_IKATAN!$B:$N, 12, FALSE)/25, 0)</f>
        <v>0</v>
      </c>
      <c r="J30" s="26">
        <f t="shared" si="1"/>
        <v>0</v>
      </c>
      <c r="K30" s="27" t="str">
        <f t="shared" si="2"/>
        <v>GGG</v>
      </c>
    </row>
    <row r="31" ht="30.0" customHeight="1">
      <c r="A31" s="20">
        <v>29.0</v>
      </c>
      <c r="B31" s="20" t="s">
        <v>800</v>
      </c>
      <c r="C31" s="21" t="s">
        <v>801</v>
      </c>
      <c r="D31" s="20" t="s">
        <v>802</v>
      </c>
      <c r="E31" s="20" t="s">
        <v>10</v>
      </c>
      <c r="F31" s="20" t="s">
        <v>11</v>
      </c>
      <c r="G31" s="22">
        <f>IFERROR(VLOOKUP($B31, MARKAH_TKRS_KAWAD!$B:$BD, 54, FALSE)/95, 0)</f>
        <v>0</v>
      </c>
      <c r="H31" s="22">
        <f>IFERROR(VLOOKUP($B31, MARKAH_TKRS_BANTU_MULA!$B:$L, 11, FALSE)/20, 0)</f>
        <v>0</v>
      </c>
      <c r="I31" s="22">
        <f>IFERROR(VLOOKUP($B31, MARKAH_TKRS_IKATAN!$B:$N, 12, FALSE)/25, 0)</f>
        <v>0</v>
      </c>
      <c r="J31" s="22">
        <f t="shared" si="1"/>
        <v>0</v>
      </c>
      <c r="K31" s="23" t="str">
        <f t="shared" si="2"/>
        <v>GGG</v>
      </c>
    </row>
    <row r="32" ht="30.0" customHeight="1">
      <c r="A32" s="24">
        <v>30.0</v>
      </c>
      <c r="B32" s="24" t="s">
        <v>803</v>
      </c>
      <c r="C32" s="25" t="s">
        <v>804</v>
      </c>
      <c r="D32" s="24" t="s">
        <v>805</v>
      </c>
      <c r="E32" s="24" t="s">
        <v>10</v>
      </c>
      <c r="F32" s="24" t="s">
        <v>11</v>
      </c>
      <c r="G32" s="26">
        <f>IFERROR(VLOOKUP($B32, MARKAH_TKRS_KAWAD!$B:$BD, 54, FALSE)/95, 0)</f>
        <v>0</v>
      </c>
      <c r="H32" s="26">
        <f>IFERROR(VLOOKUP($B32, MARKAH_TKRS_BANTU_MULA!$B:$L, 11, FALSE)/20, 0)</f>
        <v>0</v>
      </c>
      <c r="I32" s="26">
        <f>IFERROR(VLOOKUP($B32, MARKAH_TKRS_IKATAN!$B:$N, 12, FALSE)/25, 0)</f>
        <v>0</v>
      </c>
      <c r="J32" s="26">
        <f t="shared" si="1"/>
        <v>0</v>
      </c>
      <c r="K32" s="27" t="str">
        <f t="shared" si="2"/>
        <v>GGG</v>
      </c>
    </row>
    <row r="33" ht="30.0" customHeight="1">
      <c r="A33" s="20">
        <v>31.0</v>
      </c>
      <c r="B33" s="20" t="s">
        <v>806</v>
      </c>
      <c r="C33" s="21" t="s">
        <v>807</v>
      </c>
      <c r="D33" s="20" t="s">
        <v>808</v>
      </c>
      <c r="E33" s="20" t="s">
        <v>10</v>
      </c>
      <c r="F33" s="20" t="s">
        <v>11</v>
      </c>
      <c r="G33" s="22">
        <f>IFERROR(VLOOKUP($B33, MARKAH_TKRS_KAWAD!$B:$BD, 54, FALSE)/95, 0)</f>
        <v>0</v>
      </c>
      <c r="H33" s="22">
        <f>IFERROR(VLOOKUP($B33, MARKAH_TKRS_BANTU_MULA!$B:$L, 11, FALSE)/20, 0)</f>
        <v>0</v>
      </c>
      <c r="I33" s="22">
        <f>IFERROR(VLOOKUP($B33, MARKAH_TKRS_IKATAN!$B:$N, 12, FALSE)/25, 0)</f>
        <v>0</v>
      </c>
      <c r="J33" s="22">
        <f t="shared" si="1"/>
        <v>0</v>
      </c>
      <c r="K33" s="23" t="str">
        <f t="shared" si="2"/>
        <v>GGG</v>
      </c>
    </row>
    <row r="34" ht="30.0" customHeight="1">
      <c r="A34" s="24">
        <v>32.0</v>
      </c>
      <c r="B34" s="24" t="s">
        <v>809</v>
      </c>
      <c r="C34" s="25" t="s">
        <v>810</v>
      </c>
      <c r="D34" s="24" t="s">
        <v>808</v>
      </c>
      <c r="E34" s="24" t="s">
        <v>10</v>
      </c>
      <c r="F34" s="24" t="s">
        <v>11</v>
      </c>
      <c r="G34" s="26">
        <f>IFERROR(VLOOKUP($B34, MARKAH_TKRS_KAWAD!$B:$BD, 54, FALSE)/95, 0)</f>
        <v>0</v>
      </c>
      <c r="H34" s="26">
        <f>IFERROR(VLOOKUP($B34, MARKAH_TKRS_BANTU_MULA!$B:$L, 11, FALSE)/20, 0)</f>
        <v>0</v>
      </c>
      <c r="I34" s="26">
        <f>IFERROR(VLOOKUP($B34, MARKAH_TKRS_IKATAN!$B:$N, 12, FALSE)/25, 0)</f>
        <v>0</v>
      </c>
      <c r="J34" s="26">
        <f t="shared" si="1"/>
        <v>0</v>
      </c>
      <c r="K34" s="27" t="str">
        <f t="shared" si="2"/>
        <v>GGG</v>
      </c>
    </row>
    <row r="35" ht="30.0" customHeight="1">
      <c r="A35" s="20">
        <v>33.0</v>
      </c>
      <c r="B35" s="20" t="s">
        <v>811</v>
      </c>
      <c r="C35" s="21" t="s">
        <v>812</v>
      </c>
      <c r="D35" s="20" t="s">
        <v>808</v>
      </c>
      <c r="E35" s="20" t="s">
        <v>10</v>
      </c>
      <c r="F35" s="20" t="s">
        <v>11</v>
      </c>
      <c r="G35" s="22">
        <f>IFERROR(VLOOKUP($B35, MARKAH_TKRS_KAWAD!$B:$BD, 54, FALSE)/95, 0)</f>
        <v>0</v>
      </c>
      <c r="H35" s="22">
        <f>IFERROR(VLOOKUP($B35, MARKAH_TKRS_BANTU_MULA!$B:$L, 11, FALSE)/20, 0)</f>
        <v>0</v>
      </c>
      <c r="I35" s="22">
        <f>IFERROR(VLOOKUP($B35, MARKAH_TKRS_IKATAN!$B:$N, 12, FALSE)/25, 0)</f>
        <v>0</v>
      </c>
      <c r="J35" s="22">
        <f t="shared" si="1"/>
        <v>0</v>
      </c>
      <c r="K35" s="23" t="str">
        <f t="shared" si="2"/>
        <v>GGG</v>
      </c>
    </row>
    <row r="36" ht="30.0" customHeight="1">
      <c r="A36" s="24">
        <v>34.0</v>
      </c>
      <c r="B36" s="24" t="s">
        <v>813</v>
      </c>
      <c r="C36" s="25" t="s">
        <v>814</v>
      </c>
      <c r="D36" s="24" t="s">
        <v>667</v>
      </c>
      <c r="E36" s="24" t="s">
        <v>10</v>
      </c>
      <c r="F36" s="24" t="s">
        <v>38</v>
      </c>
      <c r="G36" s="26">
        <f>IFERROR(VLOOKUP($B36, MARKAH_TKRS_KAWAD!$B:$BD, 54, FALSE)/95, 0)</f>
        <v>0</v>
      </c>
      <c r="H36" s="26">
        <f>IFERROR(VLOOKUP($B36, MARKAH_TKRS_BANTU_MULA!$B:$L, 11, FALSE)/20, 0)</f>
        <v>0</v>
      </c>
      <c r="I36" s="26">
        <f>IFERROR(VLOOKUP($B36, MARKAH_TKRS_IKATAN!$B:$N, 12, FALSE)/25, 0)</f>
        <v>0</v>
      </c>
      <c r="J36" s="26">
        <f t="shared" si="1"/>
        <v>0</v>
      </c>
      <c r="K36" s="27" t="str">
        <f t="shared" si="2"/>
        <v>GGG</v>
      </c>
    </row>
    <row r="37" ht="30.0" customHeight="1">
      <c r="A37" s="20">
        <v>35.0</v>
      </c>
      <c r="B37" s="20" t="s">
        <v>815</v>
      </c>
      <c r="C37" s="21" t="s">
        <v>816</v>
      </c>
      <c r="D37" s="20" t="s">
        <v>817</v>
      </c>
      <c r="E37" s="20" t="s">
        <v>10</v>
      </c>
      <c r="F37" s="20" t="s">
        <v>38</v>
      </c>
      <c r="G37" s="22">
        <f>IFERROR(VLOOKUP($B37, MARKAH_TKRS_KAWAD!$B:$BD, 54, FALSE)/95, 0)</f>
        <v>0</v>
      </c>
      <c r="H37" s="22">
        <f>IFERROR(VLOOKUP($B37, MARKAH_TKRS_BANTU_MULA!$B:$L, 11, FALSE)/20, 0)</f>
        <v>0</v>
      </c>
      <c r="I37" s="22">
        <f>IFERROR(VLOOKUP($B37, MARKAH_TKRS_IKATAN!$B:$N, 12, FALSE)/25, 0)</f>
        <v>0</v>
      </c>
      <c r="J37" s="22">
        <f t="shared" si="1"/>
        <v>0</v>
      </c>
      <c r="K37" s="23" t="str">
        <f t="shared" si="2"/>
        <v>GGG</v>
      </c>
    </row>
    <row r="38" ht="30.0" customHeight="1">
      <c r="A38" s="24">
        <v>36.0</v>
      </c>
      <c r="B38" s="24" t="s">
        <v>818</v>
      </c>
      <c r="C38" s="25" t="s">
        <v>819</v>
      </c>
      <c r="D38" s="24" t="s">
        <v>733</v>
      </c>
      <c r="E38" s="24" t="s">
        <v>10</v>
      </c>
      <c r="F38" s="24" t="s">
        <v>38</v>
      </c>
      <c r="G38" s="26">
        <f>IFERROR(VLOOKUP($B38, MARKAH_TKRS_KAWAD!$B:$BD, 54, FALSE)/95, 0)</f>
        <v>0</v>
      </c>
      <c r="H38" s="26">
        <f>IFERROR(VLOOKUP($B38, MARKAH_TKRS_BANTU_MULA!$B:$L, 11, FALSE)/20, 0)</f>
        <v>0</v>
      </c>
      <c r="I38" s="26">
        <f>IFERROR(VLOOKUP($B38, MARKAH_TKRS_IKATAN!$B:$N, 12, FALSE)/25, 0)</f>
        <v>0</v>
      </c>
      <c r="J38" s="26">
        <f t="shared" si="1"/>
        <v>0</v>
      </c>
      <c r="K38" s="27" t="str">
        <f t="shared" si="2"/>
        <v>GGG</v>
      </c>
    </row>
    <row r="39" ht="30.0" customHeight="1">
      <c r="A39" s="20">
        <v>37.0</v>
      </c>
      <c r="B39" s="20" t="s">
        <v>820</v>
      </c>
      <c r="C39" s="21" t="s">
        <v>821</v>
      </c>
      <c r="D39" s="20" t="s">
        <v>742</v>
      </c>
      <c r="E39" s="20" t="s">
        <v>10</v>
      </c>
      <c r="F39" s="20" t="s">
        <v>11</v>
      </c>
      <c r="G39" s="22">
        <f>IFERROR(VLOOKUP($B39, MARKAH_TKRS_KAWAD!$B:$BD, 54, FALSE)/95, 0)</f>
        <v>0</v>
      </c>
      <c r="H39" s="22">
        <f>IFERROR(VLOOKUP($B39, MARKAH_TKRS_BANTU_MULA!$B:$L, 11, FALSE)/20, 0)</f>
        <v>0</v>
      </c>
      <c r="I39" s="22">
        <f>IFERROR(VLOOKUP($B39, MARKAH_TKRS_IKATAN!$B:$N, 12, FALSE)/25, 0)</f>
        <v>0</v>
      </c>
      <c r="J39" s="22">
        <f t="shared" si="1"/>
        <v>0</v>
      </c>
      <c r="K39" s="23" t="str">
        <f t="shared" si="2"/>
        <v>GGG</v>
      </c>
    </row>
    <row r="40" ht="30.0" customHeight="1">
      <c r="A40" s="24">
        <v>38.0</v>
      </c>
      <c r="B40" s="24" t="s">
        <v>822</v>
      </c>
      <c r="C40" s="25" t="s">
        <v>823</v>
      </c>
      <c r="D40" s="24" t="s">
        <v>742</v>
      </c>
      <c r="E40" s="24" t="s">
        <v>10</v>
      </c>
      <c r="F40" s="24" t="s">
        <v>11</v>
      </c>
      <c r="G40" s="26">
        <f>IFERROR(VLOOKUP($B40, MARKAH_TKRS_KAWAD!$B:$BD, 54, FALSE)/95, 0)</f>
        <v>0</v>
      </c>
      <c r="H40" s="26">
        <f>IFERROR(VLOOKUP($B40, MARKAH_TKRS_BANTU_MULA!$B:$L, 11, FALSE)/20, 0)</f>
        <v>0</v>
      </c>
      <c r="I40" s="26">
        <f>IFERROR(VLOOKUP($B40, MARKAH_TKRS_IKATAN!$B:$N, 12, FALSE)/25, 0)</f>
        <v>0</v>
      </c>
      <c r="J40" s="26">
        <f t="shared" si="1"/>
        <v>0</v>
      </c>
      <c r="K40" s="27" t="str">
        <f t="shared" si="2"/>
        <v>GGG</v>
      </c>
    </row>
    <row r="41" ht="30.0" customHeight="1">
      <c r="A41" s="20">
        <v>39.0</v>
      </c>
      <c r="B41" s="20" t="s">
        <v>824</v>
      </c>
      <c r="C41" s="21" t="s">
        <v>825</v>
      </c>
      <c r="D41" s="20" t="s">
        <v>411</v>
      </c>
      <c r="E41" s="20" t="s">
        <v>10</v>
      </c>
      <c r="F41" s="20" t="s">
        <v>11</v>
      </c>
      <c r="G41" s="22">
        <f>IFERROR(VLOOKUP($B41, MARKAH_TKRS_KAWAD!$B:$BD, 54, FALSE)/95, 0)</f>
        <v>0</v>
      </c>
      <c r="H41" s="22">
        <f>IFERROR(VLOOKUP($B41, MARKAH_TKRS_BANTU_MULA!$B:$L, 11, FALSE)/20, 0)</f>
        <v>0</v>
      </c>
      <c r="I41" s="22">
        <f>IFERROR(VLOOKUP($B41, MARKAH_TKRS_IKATAN!$B:$N, 12, FALSE)/25, 0)</f>
        <v>0</v>
      </c>
      <c r="J41" s="22">
        <f t="shared" si="1"/>
        <v>0</v>
      </c>
      <c r="K41" s="23" t="str">
        <f t="shared" si="2"/>
        <v>GGG</v>
      </c>
    </row>
    <row r="42" ht="30.0" customHeight="1">
      <c r="A42" s="24">
        <v>40.0</v>
      </c>
      <c r="B42" s="24" t="s">
        <v>826</v>
      </c>
      <c r="C42" s="25" t="s">
        <v>827</v>
      </c>
      <c r="D42" s="24" t="s">
        <v>748</v>
      </c>
      <c r="E42" s="24" t="s">
        <v>10</v>
      </c>
      <c r="F42" s="24" t="s">
        <v>38</v>
      </c>
      <c r="G42" s="26">
        <f>IFERROR(VLOOKUP($B42, MARKAH_TKRS_KAWAD!$B:$BD, 54, FALSE)/95, 0)</f>
        <v>0</v>
      </c>
      <c r="H42" s="26">
        <f>IFERROR(VLOOKUP($B42, MARKAH_TKRS_BANTU_MULA!$B:$L, 11, FALSE)/20, 0)</f>
        <v>0</v>
      </c>
      <c r="I42" s="26">
        <f>IFERROR(VLOOKUP($B42, MARKAH_TKRS_IKATAN!$B:$N, 12, FALSE)/25, 0)</f>
        <v>0</v>
      </c>
      <c r="J42" s="26">
        <f t="shared" si="1"/>
        <v>0</v>
      </c>
      <c r="K42" s="27" t="str">
        <f t="shared" si="2"/>
        <v>GGG</v>
      </c>
    </row>
    <row r="43" ht="30.0" customHeight="1">
      <c r="A43" s="20">
        <v>41.0</v>
      </c>
      <c r="B43" s="20" t="s">
        <v>828</v>
      </c>
      <c r="C43" s="21" t="s">
        <v>829</v>
      </c>
      <c r="D43" s="20" t="s">
        <v>347</v>
      </c>
      <c r="E43" s="20" t="s">
        <v>10</v>
      </c>
      <c r="F43" s="20" t="s">
        <v>11</v>
      </c>
      <c r="G43" s="22">
        <f>IFERROR(VLOOKUP($B43, MARKAH_TKRS_KAWAD!$B:$BD, 54, FALSE)/95, 0)</f>
        <v>0</v>
      </c>
      <c r="H43" s="22">
        <f>IFERROR(VLOOKUP($B43, MARKAH_TKRS_BANTU_MULA!$B:$L, 11, FALSE)/20, 0)</f>
        <v>0</v>
      </c>
      <c r="I43" s="22">
        <f>IFERROR(VLOOKUP($B43, MARKAH_TKRS_IKATAN!$B:$N, 12, FALSE)/25, 0)</f>
        <v>0</v>
      </c>
      <c r="J43" s="22">
        <f t="shared" si="1"/>
        <v>0</v>
      </c>
      <c r="K43" s="23" t="str">
        <f t="shared" si="2"/>
        <v>GGG</v>
      </c>
    </row>
    <row r="44" ht="30.0" customHeight="1">
      <c r="A44" s="24">
        <v>42.0</v>
      </c>
      <c r="B44" s="24" t="s">
        <v>830</v>
      </c>
      <c r="C44" s="25" t="s">
        <v>831</v>
      </c>
      <c r="D44" s="24" t="s">
        <v>326</v>
      </c>
      <c r="E44" s="24" t="s">
        <v>10</v>
      </c>
      <c r="F44" s="24" t="s">
        <v>11</v>
      </c>
      <c r="G44" s="26">
        <f>IFERROR(VLOOKUP($B44, MARKAH_TKRS_KAWAD!$B:$BD, 54, FALSE)/95, 0)</f>
        <v>0</v>
      </c>
      <c r="H44" s="26">
        <f>IFERROR(VLOOKUP($B44, MARKAH_TKRS_BANTU_MULA!$B:$L, 11, FALSE)/20, 0)</f>
        <v>0</v>
      </c>
      <c r="I44" s="26">
        <f>IFERROR(VLOOKUP($B44, MARKAH_TKRS_IKATAN!$B:$N, 12, FALSE)/25, 0)</f>
        <v>0</v>
      </c>
      <c r="J44" s="26">
        <f t="shared" si="1"/>
        <v>0</v>
      </c>
      <c r="K44" s="27" t="str">
        <f t="shared" si="2"/>
        <v>GGG</v>
      </c>
    </row>
    <row r="45" ht="30.0" customHeight="1">
      <c r="A45" s="20">
        <v>43.0</v>
      </c>
      <c r="B45" s="20" t="s">
        <v>832</v>
      </c>
      <c r="C45" s="21" t="s">
        <v>833</v>
      </c>
      <c r="D45" s="20" t="s">
        <v>756</v>
      </c>
      <c r="E45" s="20" t="s">
        <v>10</v>
      </c>
      <c r="F45" s="20" t="s">
        <v>11</v>
      </c>
      <c r="G45" s="22">
        <f>IFERROR(VLOOKUP($B45, MARKAH_TKRS_KAWAD!$B:$BD, 54, FALSE)/95, 0)</f>
        <v>0</v>
      </c>
      <c r="H45" s="22">
        <f>IFERROR(VLOOKUP($B45, MARKAH_TKRS_BANTU_MULA!$B:$L, 11, FALSE)/20, 0)</f>
        <v>0</v>
      </c>
      <c r="I45" s="22">
        <f>IFERROR(VLOOKUP($B45, MARKAH_TKRS_IKATAN!$B:$N, 12, FALSE)/25, 0)</f>
        <v>0</v>
      </c>
      <c r="J45" s="22">
        <f t="shared" si="1"/>
        <v>0</v>
      </c>
      <c r="K45" s="23" t="str">
        <f t="shared" si="2"/>
        <v>GGG</v>
      </c>
    </row>
    <row r="46" ht="30.0" customHeight="1">
      <c r="A46" s="24">
        <v>44.0</v>
      </c>
      <c r="B46" s="24" t="s">
        <v>834</v>
      </c>
      <c r="C46" s="25" t="s">
        <v>835</v>
      </c>
      <c r="D46" s="24" t="s">
        <v>366</v>
      </c>
      <c r="E46" s="24" t="s">
        <v>10</v>
      </c>
      <c r="F46" s="24" t="s">
        <v>11</v>
      </c>
      <c r="G46" s="26">
        <f>IFERROR(VLOOKUP($B46, MARKAH_TKRS_KAWAD!$B:$BD, 54, FALSE)/95, 0)</f>
        <v>0</v>
      </c>
      <c r="H46" s="26">
        <f>IFERROR(VLOOKUP($B46, MARKAH_TKRS_BANTU_MULA!$B:$L, 11, FALSE)/20, 0)</f>
        <v>0</v>
      </c>
      <c r="I46" s="26">
        <f>IFERROR(VLOOKUP($B46, MARKAH_TKRS_IKATAN!$B:$N, 12, FALSE)/25, 0)</f>
        <v>0</v>
      </c>
      <c r="J46" s="26">
        <f t="shared" si="1"/>
        <v>0</v>
      </c>
      <c r="K46" s="27" t="str">
        <f t="shared" si="2"/>
        <v>GGG</v>
      </c>
    </row>
    <row r="47" ht="30.0" customHeight="1">
      <c r="A47" s="20">
        <v>45.0</v>
      </c>
      <c r="B47" s="20" t="s">
        <v>836</v>
      </c>
      <c r="C47" s="21" t="s">
        <v>837</v>
      </c>
      <c r="D47" s="20" t="s">
        <v>366</v>
      </c>
      <c r="E47" s="20" t="s">
        <v>10</v>
      </c>
      <c r="F47" s="20" t="s">
        <v>11</v>
      </c>
      <c r="G47" s="22">
        <f>IFERROR(VLOOKUP($B47, MARKAH_TKRS_KAWAD!$B:$BD, 54, FALSE)/95, 0)</f>
        <v>0</v>
      </c>
      <c r="H47" s="22">
        <f>IFERROR(VLOOKUP($B47, MARKAH_TKRS_BANTU_MULA!$B:$L, 11, FALSE)/20, 0)</f>
        <v>0</v>
      </c>
      <c r="I47" s="22">
        <f>IFERROR(VLOOKUP($B47, MARKAH_TKRS_IKATAN!$B:$N, 12, FALSE)/25, 0)</f>
        <v>0</v>
      </c>
      <c r="J47" s="22">
        <f t="shared" si="1"/>
        <v>0</v>
      </c>
      <c r="K47" s="23" t="str">
        <f t="shared" si="2"/>
        <v>GGG</v>
      </c>
    </row>
    <row r="48" ht="30.0" customHeight="1">
      <c r="A48" s="24">
        <v>46.0</v>
      </c>
      <c r="B48" s="24" t="s">
        <v>838</v>
      </c>
      <c r="C48" s="25" t="s">
        <v>839</v>
      </c>
      <c r="D48" s="24" t="s">
        <v>366</v>
      </c>
      <c r="E48" s="24" t="s">
        <v>10</v>
      </c>
      <c r="F48" s="24" t="s">
        <v>11</v>
      </c>
      <c r="G48" s="26">
        <f>IFERROR(VLOOKUP($B48, MARKAH_TKRS_KAWAD!$B:$BD, 54, FALSE)/95, 0)</f>
        <v>0</v>
      </c>
      <c r="H48" s="26">
        <f>IFERROR(VLOOKUP($B48, MARKAH_TKRS_BANTU_MULA!$B:$L, 11, FALSE)/20, 0)</f>
        <v>0</v>
      </c>
      <c r="I48" s="26">
        <f>IFERROR(VLOOKUP($B48, MARKAH_TKRS_IKATAN!$B:$N, 12, FALSE)/25, 0)</f>
        <v>0</v>
      </c>
      <c r="J48" s="26">
        <f t="shared" si="1"/>
        <v>0</v>
      </c>
      <c r="K48" s="27" t="str">
        <f t="shared" si="2"/>
        <v>GGG</v>
      </c>
    </row>
    <row r="49" ht="30.0" customHeight="1">
      <c r="A49" s="20">
        <v>47.0</v>
      </c>
      <c r="B49" s="20" t="s">
        <v>840</v>
      </c>
      <c r="C49" s="21" t="s">
        <v>841</v>
      </c>
      <c r="D49" s="20" t="s">
        <v>366</v>
      </c>
      <c r="E49" s="20" t="s">
        <v>10</v>
      </c>
      <c r="F49" s="20" t="s">
        <v>11</v>
      </c>
      <c r="G49" s="22">
        <f>IFERROR(VLOOKUP($B49, MARKAH_TKRS_KAWAD!$B:$BD, 54, FALSE)/95, 0)</f>
        <v>0</v>
      </c>
      <c r="H49" s="22">
        <f>IFERROR(VLOOKUP($B49, MARKAH_TKRS_BANTU_MULA!$B:$L, 11, FALSE)/20, 0)</f>
        <v>0</v>
      </c>
      <c r="I49" s="22">
        <f>IFERROR(VLOOKUP($B49, MARKAH_TKRS_IKATAN!$B:$N, 12, FALSE)/25, 0)</f>
        <v>0</v>
      </c>
      <c r="J49" s="22">
        <f t="shared" si="1"/>
        <v>0</v>
      </c>
      <c r="K49" s="23" t="str">
        <f t="shared" si="2"/>
        <v>GGG</v>
      </c>
    </row>
    <row r="50" ht="30.0" customHeight="1">
      <c r="A50" s="24">
        <v>48.0</v>
      </c>
      <c r="B50" s="24" t="s">
        <v>842</v>
      </c>
      <c r="C50" s="25" t="s">
        <v>843</v>
      </c>
      <c r="D50" s="24" t="s">
        <v>767</v>
      </c>
      <c r="E50" s="24" t="s">
        <v>10</v>
      </c>
      <c r="F50" s="24" t="s">
        <v>11</v>
      </c>
      <c r="G50" s="26">
        <f>IFERROR(VLOOKUP($B50, MARKAH_TKRS_KAWAD!$B:$BD, 54, FALSE)/95, 0)</f>
        <v>0</v>
      </c>
      <c r="H50" s="26">
        <f>IFERROR(VLOOKUP($B50, MARKAH_TKRS_BANTU_MULA!$B:$L, 11, FALSE)/20, 0)</f>
        <v>0</v>
      </c>
      <c r="I50" s="26">
        <f>IFERROR(VLOOKUP($B50, MARKAH_TKRS_IKATAN!$B:$N, 12, FALSE)/25, 0)</f>
        <v>0</v>
      </c>
      <c r="J50" s="26">
        <f t="shared" si="1"/>
        <v>0</v>
      </c>
      <c r="K50" s="27" t="str">
        <f t="shared" si="2"/>
        <v>GGG</v>
      </c>
    </row>
    <row r="51" ht="30.0" customHeight="1">
      <c r="A51" s="20">
        <v>49.0</v>
      </c>
      <c r="B51" s="20" t="s">
        <v>844</v>
      </c>
      <c r="C51" s="21" t="s">
        <v>845</v>
      </c>
      <c r="D51" s="20" t="s">
        <v>380</v>
      </c>
      <c r="E51" s="20" t="s">
        <v>10</v>
      </c>
      <c r="F51" s="20" t="s">
        <v>11</v>
      </c>
      <c r="G51" s="22">
        <f>IFERROR(VLOOKUP($B51, MARKAH_TKRS_KAWAD!$B:$BD, 54, FALSE)/95, 0)</f>
        <v>0</v>
      </c>
      <c r="H51" s="22">
        <f>IFERROR(VLOOKUP($B51, MARKAH_TKRS_BANTU_MULA!$B:$L, 11, FALSE)/20, 0)</f>
        <v>0</v>
      </c>
      <c r="I51" s="22">
        <f>IFERROR(VLOOKUP($B51, MARKAH_TKRS_IKATAN!$B:$N, 12, FALSE)/25, 0)</f>
        <v>0</v>
      </c>
      <c r="J51" s="22">
        <f t="shared" si="1"/>
        <v>0</v>
      </c>
      <c r="K51" s="23" t="str">
        <f t="shared" si="2"/>
        <v>GGG</v>
      </c>
    </row>
    <row r="52" ht="30.0" customHeight="1">
      <c r="A52" s="24">
        <v>50.0</v>
      </c>
      <c r="B52" s="24" t="s">
        <v>846</v>
      </c>
      <c r="C52" s="25" t="s">
        <v>847</v>
      </c>
      <c r="D52" s="24" t="s">
        <v>773</v>
      </c>
      <c r="E52" s="24" t="s">
        <v>10</v>
      </c>
      <c r="F52" s="24" t="s">
        <v>11</v>
      </c>
      <c r="G52" s="26">
        <f>IFERROR(VLOOKUP($B52, MARKAH_TKRS_KAWAD!$B:$BD, 54, FALSE)/95, 0)</f>
        <v>0</v>
      </c>
      <c r="H52" s="26">
        <f>IFERROR(VLOOKUP($B52, MARKAH_TKRS_BANTU_MULA!$B:$L, 11, FALSE)/20, 0)</f>
        <v>0</v>
      </c>
      <c r="I52" s="26">
        <f>IFERROR(VLOOKUP($B52, MARKAH_TKRS_IKATAN!$B:$N, 12, FALSE)/25, 0)</f>
        <v>0</v>
      </c>
      <c r="J52" s="26">
        <f t="shared" si="1"/>
        <v>0</v>
      </c>
      <c r="K52" s="27" t="str">
        <f t="shared" si="2"/>
        <v>GGG</v>
      </c>
    </row>
    <row r="53" ht="30.0" customHeight="1">
      <c r="A53" s="20">
        <v>51.0</v>
      </c>
      <c r="B53" s="20" t="s">
        <v>848</v>
      </c>
      <c r="C53" s="21" t="s">
        <v>849</v>
      </c>
      <c r="D53" s="20" t="s">
        <v>359</v>
      </c>
      <c r="E53" s="20" t="s">
        <v>10</v>
      </c>
      <c r="F53" s="20" t="s">
        <v>11</v>
      </c>
      <c r="G53" s="22">
        <f>IFERROR(VLOOKUP($B53, MARKAH_TKRS_KAWAD!$B:$BD, 54, FALSE)/95, 0)</f>
        <v>0</v>
      </c>
      <c r="H53" s="22">
        <f>IFERROR(VLOOKUP($B53, MARKAH_TKRS_BANTU_MULA!$B:$L, 11, FALSE)/20, 0)</f>
        <v>0</v>
      </c>
      <c r="I53" s="22">
        <f>IFERROR(VLOOKUP($B53, MARKAH_TKRS_IKATAN!$B:$N, 12, FALSE)/25, 0)</f>
        <v>0</v>
      </c>
      <c r="J53" s="22">
        <f t="shared" si="1"/>
        <v>0</v>
      </c>
      <c r="K53" s="23" t="str">
        <f t="shared" si="2"/>
        <v>GGG</v>
      </c>
    </row>
    <row r="54" ht="30.0" customHeight="1">
      <c r="A54" s="24">
        <v>52.0</v>
      </c>
      <c r="B54" s="24" t="s">
        <v>850</v>
      </c>
      <c r="C54" s="25" t="s">
        <v>851</v>
      </c>
      <c r="D54" s="24" t="s">
        <v>359</v>
      </c>
      <c r="E54" s="24" t="s">
        <v>10</v>
      </c>
      <c r="F54" s="24" t="s">
        <v>11</v>
      </c>
      <c r="G54" s="26">
        <f>IFERROR(VLOOKUP($B54, MARKAH_TKRS_KAWAD!$B:$BD, 54, FALSE)/95, 0)</f>
        <v>0</v>
      </c>
      <c r="H54" s="26">
        <f>IFERROR(VLOOKUP($B54, MARKAH_TKRS_BANTU_MULA!$B:$L, 11, FALSE)/20, 0)</f>
        <v>0</v>
      </c>
      <c r="I54" s="26">
        <f>IFERROR(VLOOKUP($B54, MARKAH_TKRS_IKATAN!$B:$N, 12, FALSE)/25, 0)</f>
        <v>0</v>
      </c>
      <c r="J54" s="26">
        <f t="shared" si="1"/>
        <v>0</v>
      </c>
      <c r="K54" s="27" t="str">
        <f t="shared" si="2"/>
        <v>GGG</v>
      </c>
    </row>
    <row r="55" ht="30.0" customHeight="1">
      <c r="A55" s="20">
        <v>53.0</v>
      </c>
      <c r="B55" s="20" t="s">
        <v>852</v>
      </c>
      <c r="C55" s="21" t="s">
        <v>853</v>
      </c>
      <c r="D55" s="20" t="s">
        <v>359</v>
      </c>
      <c r="E55" s="20" t="s">
        <v>10</v>
      </c>
      <c r="F55" s="20" t="s">
        <v>11</v>
      </c>
      <c r="G55" s="22">
        <f>IFERROR(VLOOKUP($B55, MARKAH_TKRS_KAWAD!$B:$BD, 54, FALSE)/95, 0)</f>
        <v>0</v>
      </c>
      <c r="H55" s="22">
        <f>IFERROR(VLOOKUP($B55, MARKAH_TKRS_BANTU_MULA!$B:$L, 11, FALSE)/20, 0)</f>
        <v>0</v>
      </c>
      <c r="I55" s="22">
        <f>IFERROR(VLOOKUP($B55, MARKAH_TKRS_IKATAN!$B:$N, 12, FALSE)/25, 0)</f>
        <v>0</v>
      </c>
      <c r="J55" s="22">
        <f t="shared" si="1"/>
        <v>0</v>
      </c>
      <c r="K55" s="23" t="str">
        <f t="shared" si="2"/>
        <v>GGG</v>
      </c>
    </row>
    <row r="56" ht="30.0" customHeight="1">
      <c r="A56" s="24">
        <v>54.0</v>
      </c>
      <c r="B56" s="24" t="s">
        <v>854</v>
      </c>
      <c r="C56" s="25" t="s">
        <v>855</v>
      </c>
      <c r="D56" s="24" t="s">
        <v>390</v>
      </c>
      <c r="E56" s="24" t="s">
        <v>10</v>
      </c>
      <c r="F56" s="24" t="s">
        <v>11</v>
      </c>
      <c r="G56" s="26">
        <f>IFERROR(VLOOKUP($B56, MARKAH_TKRS_KAWAD!$B:$BD, 54, FALSE)/95, 0)</f>
        <v>0</v>
      </c>
      <c r="H56" s="26">
        <f>IFERROR(VLOOKUP($B56, MARKAH_TKRS_BANTU_MULA!$B:$L, 11, FALSE)/20, 0)</f>
        <v>0</v>
      </c>
      <c r="I56" s="26">
        <f>IFERROR(VLOOKUP($B56, MARKAH_TKRS_IKATAN!$B:$N, 12, FALSE)/25, 0)</f>
        <v>0</v>
      </c>
      <c r="J56" s="26">
        <f t="shared" si="1"/>
        <v>0</v>
      </c>
      <c r="K56" s="27" t="str">
        <f t="shared" si="2"/>
        <v>GGG</v>
      </c>
    </row>
    <row r="57" ht="30.0" customHeight="1">
      <c r="A57" s="20">
        <v>55.0</v>
      </c>
      <c r="B57" s="20" t="s">
        <v>856</v>
      </c>
      <c r="C57" s="21" t="s">
        <v>857</v>
      </c>
      <c r="D57" s="20" t="s">
        <v>784</v>
      </c>
      <c r="E57" s="20" t="s">
        <v>10</v>
      </c>
      <c r="F57" s="20" t="s">
        <v>11</v>
      </c>
      <c r="G57" s="22">
        <f>IFERROR(VLOOKUP($B57, MARKAH_TKRS_KAWAD!$B:$BD, 54, FALSE)/95, 0)</f>
        <v>0</v>
      </c>
      <c r="H57" s="22">
        <f>IFERROR(VLOOKUP($B57, MARKAH_TKRS_BANTU_MULA!$B:$L, 11, FALSE)/20, 0)</f>
        <v>0</v>
      </c>
      <c r="I57" s="22">
        <f>IFERROR(VLOOKUP($B57, MARKAH_TKRS_IKATAN!$B:$N, 12, FALSE)/25, 0)</f>
        <v>0</v>
      </c>
      <c r="J57" s="22">
        <f t="shared" si="1"/>
        <v>0</v>
      </c>
      <c r="K57" s="23" t="str">
        <f t="shared" si="2"/>
        <v>GGG</v>
      </c>
    </row>
    <row r="58" ht="30.0" customHeight="1">
      <c r="A58" s="24">
        <v>56.0</v>
      </c>
      <c r="B58" s="24" t="s">
        <v>858</v>
      </c>
      <c r="C58" s="25" t="s">
        <v>859</v>
      </c>
      <c r="D58" s="24" t="s">
        <v>789</v>
      </c>
      <c r="E58" s="24" t="s">
        <v>10</v>
      </c>
      <c r="F58" s="24" t="s">
        <v>11</v>
      </c>
      <c r="G58" s="26">
        <f>IFERROR(VLOOKUP($B58, MARKAH_TKRS_KAWAD!$B:$BD, 54, FALSE)/95, 0)</f>
        <v>0</v>
      </c>
      <c r="H58" s="26">
        <f>IFERROR(VLOOKUP($B58, MARKAH_TKRS_BANTU_MULA!$B:$L, 11, FALSE)/20, 0)</f>
        <v>0</v>
      </c>
      <c r="I58" s="26">
        <f>IFERROR(VLOOKUP($B58, MARKAH_TKRS_IKATAN!$B:$N, 12, FALSE)/25, 0)</f>
        <v>0</v>
      </c>
      <c r="J58" s="26">
        <f t="shared" si="1"/>
        <v>0</v>
      </c>
      <c r="K58" s="27" t="str">
        <f t="shared" si="2"/>
        <v>GGG</v>
      </c>
    </row>
    <row r="59" ht="30.0" customHeight="1">
      <c r="A59" s="20">
        <v>57.0</v>
      </c>
      <c r="B59" s="20" t="s">
        <v>860</v>
      </c>
      <c r="C59" s="21" t="s">
        <v>861</v>
      </c>
      <c r="D59" s="20" t="s">
        <v>789</v>
      </c>
      <c r="E59" s="20" t="s">
        <v>10</v>
      </c>
      <c r="F59" s="20" t="s">
        <v>11</v>
      </c>
      <c r="G59" s="22">
        <f>IFERROR(VLOOKUP($B59, MARKAH_TKRS_KAWAD!$B:$BD, 54, FALSE)/95, 0)</f>
        <v>0</v>
      </c>
      <c r="H59" s="22">
        <f>IFERROR(VLOOKUP($B59, MARKAH_TKRS_BANTU_MULA!$B:$L, 11, FALSE)/20, 0)</f>
        <v>0</v>
      </c>
      <c r="I59" s="22">
        <f>IFERROR(VLOOKUP($B59, MARKAH_TKRS_IKATAN!$B:$N, 12, FALSE)/25, 0)</f>
        <v>0</v>
      </c>
      <c r="J59" s="22">
        <f t="shared" si="1"/>
        <v>0</v>
      </c>
      <c r="K59" s="23" t="str">
        <f t="shared" si="2"/>
        <v>GGG</v>
      </c>
    </row>
    <row r="60" ht="30.0" customHeight="1">
      <c r="A60" s="24">
        <v>58.0</v>
      </c>
      <c r="B60" s="24" t="s">
        <v>862</v>
      </c>
      <c r="C60" s="25" t="s">
        <v>863</v>
      </c>
      <c r="D60" s="24" t="s">
        <v>396</v>
      </c>
      <c r="E60" s="24" t="s">
        <v>10</v>
      </c>
      <c r="F60" s="24" t="s">
        <v>11</v>
      </c>
      <c r="G60" s="26">
        <f>IFERROR(VLOOKUP($B60, MARKAH_TKRS_KAWAD!$B:$BD, 54, FALSE)/95, 0)</f>
        <v>0</v>
      </c>
      <c r="H60" s="26">
        <f>IFERROR(VLOOKUP($B60, MARKAH_TKRS_BANTU_MULA!$B:$L, 11, FALSE)/20, 0)</f>
        <v>0</v>
      </c>
      <c r="I60" s="26">
        <f>IFERROR(VLOOKUP($B60, MARKAH_TKRS_IKATAN!$B:$N, 12, FALSE)/25, 0)</f>
        <v>0</v>
      </c>
      <c r="J60" s="26">
        <f t="shared" si="1"/>
        <v>0</v>
      </c>
      <c r="K60" s="27" t="str">
        <f t="shared" si="2"/>
        <v>GGG</v>
      </c>
    </row>
    <row r="61" ht="30.0" customHeight="1">
      <c r="A61" s="20">
        <v>59.0</v>
      </c>
      <c r="B61" s="20" t="s">
        <v>864</v>
      </c>
      <c r="C61" s="21" t="s">
        <v>865</v>
      </c>
      <c r="D61" s="20" t="s">
        <v>370</v>
      </c>
      <c r="E61" s="20" t="s">
        <v>10</v>
      </c>
      <c r="F61" s="20" t="s">
        <v>11</v>
      </c>
      <c r="G61" s="22">
        <f>IFERROR(VLOOKUP($B61, MARKAH_TKRS_KAWAD!$B:$BD, 54, FALSE)/95, 0)</f>
        <v>0</v>
      </c>
      <c r="H61" s="22">
        <f>IFERROR(VLOOKUP($B61, MARKAH_TKRS_BANTU_MULA!$B:$L, 11, FALSE)/20, 0)</f>
        <v>0</v>
      </c>
      <c r="I61" s="22">
        <f>IFERROR(VLOOKUP($B61, MARKAH_TKRS_IKATAN!$B:$N, 12, FALSE)/25, 0)</f>
        <v>0</v>
      </c>
      <c r="J61" s="22">
        <f t="shared" si="1"/>
        <v>0</v>
      </c>
      <c r="K61" s="23" t="str">
        <f t="shared" si="2"/>
        <v>GGG</v>
      </c>
    </row>
    <row r="62" ht="30.0" customHeight="1">
      <c r="A62" s="24">
        <v>60.0</v>
      </c>
      <c r="B62" s="24" t="s">
        <v>866</v>
      </c>
      <c r="C62" s="25" t="s">
        <v>867</v>
      </c>
      <c r="D62" s="24" t="s">
        <v>799</v>
      </c>
      <c r="E62" s="24" t="s">
        <v>10</v>
      </c>
      <c r="F62" s="24" t="s">
        <v>11</v>
      </c>
      <c r="G62" s="26">
        <f>IFERROR(VLOOKUP($B62, MARKAH_TKRS_KAWAD!$B:$BD, 54, FALSE)/95, 0)</f>
        <v>0</v>
      </c>
      <c r="H62" s="26">
        <f>IFERROR(VLOOKUP($B62, MARKAH_TKRS_BANTU_MULA!$B:$L, 11, FALSE)/20, 0)</f>
        <v>0</v>
      </c>
      <c r="I62" s="26">
        <f>IFERROR(VLOOKUP($B62, MARKAH_TKRS_IKATAN!$B:$N, 12, FALSE)/25, 0)</f>
        <v>0</v>
      </c>
      <c r="J62" s="26">
        <f t="shared" si="1"/>
        <v>0</v>
      </c>
      <c r="K62" s="27" t="str">
        <f t="shared" si="2"/>
        <v>GGG</v>
      </c>
    </row>
    <row r="63" ht="30.0" customHeight="1">
      <c r="A63" s="20">
        <v>61.0</v>
      </c>
      <c r="B63" s="20" t="s">
        <v>868</v>
      </c>
      <c r="C63" s="21" t="s">
        <v>869</v>
      </c>
      <c r="D63" s="20" t="s">
        <v>802</v>
      </c>
      <c r="E63" s="20" t="s">
        <v>10</v>
      </c>
      <c r="F63" s="20" t="s">
        <v>11</v>
      </c>
      <c r="G63" s="22">
        <f>IFERROR(VLOOKUP($B63, MARKAH_TKRS_KAWAD!$B:$BD, 54, FALSE)/95, 0)</f>
        <v>0</v>
      </c>
      <c r="H63" s="22">
        <f>IFERROR(VLOOKUP($B63, MARKAH_TKRS_BANTU_MULA!$B:$L, 11, FALSE)/20, 0)</f>
        <v>0</v>
      </c>
      <c r="I63" s="22">
        <f>IFERROR(VLOOKUP($B63, MARKAH_TKRS_IKATAN!$B:$N, 12, FALSE)/25, 0)</f>
        <v>0</v>
      </c>
      <c r="J63" s="22">
        <f t="shared" si="1"/>
        <v>0</v>
      </c>
      <c r="K63" s="23" t="str">
        <f t="shared" si="2"/>
        <v>GGG</v>
      </c>
    </row>
    <row r="64" ht="30.0" customHeight="1">
      <c r="A64" s="24">
        <v>62.0</v>
      </c>
      <c r="B64" s="24" t="s">
        <v>870</v>
      </c>
      <c r="C64" s="25" t="s">
        <v>871</v>
      </c>
      <c r="D64" s="24" t="s">
        <v>802</v>
      </c>
      <c r="E64" s="24" t="s">
        <v>10</v>
      </c>
      <c r="F64" s="24" t="s">
        <v>11</v>
      </c>
      <c r="G64" s="26">
        <f>IFERROR(VLOOKUP($B64, MARKAH_TKRS_KAWAD!$B:$BD, 54, FALSE)/95, 0)</f>
        <v>0</v>
      </c>
      <c r="H64" s="26">
        <f>IFERROR(VLOOKUP($B64, MARKAH_TKRS_BANTU_MULA!$B:$L, 11, FALSE)/20, 0)</f>
        <v>0</v>
      </c>
      <c r="I64" s="26">
        <f>IFERROR(VLOOKUP($B64, MARKAH_TKRS_IKATAN!$B:$N, 12, FALSE)/25, 0)</f>
        <v>0</v>
      </c>
      <c r="J64" s="26">
        <f t="shared" si="1"/>
        <v>0</v>
      </c>
      <c r="K64" s="27" t="str">
        <f t="shared" si="2"/>
        <v>GGG</v>
      </c>
    </row>
    <row r="65" ht="30.0" customHeight="1">
      <c r="A65" s="20">
        <v>63.0</v>
      </c>
      <c r="B65" s="20" t="s">
        <v>872</v>
      </c>
      <c r="C65" s="21" t="s">
        <v>873</v>
      </c>
      <c r="D65" s="20" t="s">
        <v>805</v>
      </c>
      <c r="E65" s="20" t="s">
        <v>10</v>
      </c>
      <c r="F65" s="20" t="s">
        <v>11</v>
      </c>
      <c r="G65" s="22">
        <f>IFERROR(VLOOKUP($B65, MARKAH_TKRS_KAWAD!$B:$BD, 54, FALSE)/95, 0)</f>
        <v>0</v>
      </c>
      <c r="H65" s="22">
        <f>IFERROR(VLOOKUP($B65, MARKAH_TKRS_BANTU_MULA!$B:$L, 11, FALSE)/20, 0)</f>
        <v>0</v>
      </c>
      <c r="I65" s="22">
        <f>IFERROR(VLOOKUP($B65, MARKAH_TKRS_IKATAN!$B:$N, 12, FALSE)/25, 0)</f>
        <v>0</v>
      </c>
      <c r="J65" s="22">
        <f t="shared" si="1"/>
        <v>0</v>
      </c>
      <c r="K65" s="23" t="str">
        <f t="shared" si="2"/>
        <v>GGG</v>
      </c>
    </row>
    <row r="66" ht="30.0" customHeight="1">
      <c r="A66" s="24">
        <v>64.0</v>
      </c>
      <c r="B66" s="24" t="s">
        <v>874</v>
      </c>
      <c r="C66" s="25" t="s">
        <v>875</v>
      </c>
      <c r="D66" s="24" t="s">
        <v>808</v>
      </c>
      <c r="E66" s="24" t="s">
        <v>10</v>
      </c>
      <c r="F66" s="24" t="s">
        <v>11</v>
      </c>
      <c r="G66" s="26">
        <f>IFERROR(VLOOKUP($B66, MARKAH_TKRS_KAWAD!$B:$BD, 54, FALSE)/95, 0)</f>
        <v>0</v>
      </c>
      <c r="H66" s="26">
        <f>IFERROR(VLOOKUP($B66, MARKAH_TKRS_BANTU_MULA!$B:$L, 11, FALSE)/20, 0)</f>
        <v>0</v>
      </c>
      <c r="I66" s="26">
        <f>IFERROR(VLOOKUP($B66, MARKAH_TKRS_IKATAN!$B:$N, 12, FALSE)/25, 0)</f>
        <v>0</v>
      </c>
      <c r="J66" s="26">
        <f t="shared" si="1"/>
        <v>0</v>
      </c>
      <c r="K66" s="27" t="str">
        <f t="shared" si="2"/>
        <v>GGG</v>
      </c>
    </row>
    <row r="67" ht="30.0" customHeight="1">
      <c r="A67" s="20">
        <v>65.0</v>
      </c>
      <c r="B67" s="20" t="s">
        <v>876</v>
      </c>
      <c r="C67" s="21" t="s">
        <v>877</v>
      </c>
      <c r="D67" s="20" t="s">
        <v>808</v>
      </c>
      <c r="E67" s="20" t="s">
        <v>10</v>
      </c>
      <c r="F67" s="20" t="s">
        <v>11</v>
      </c>
      <c r="G67" s="22">
        <f>IFERROR(VLOOKUP($B67, MARKAH_TKRS_KAWAD!$B:$BD, 54, FALSE)/95, 0)</f>
        <v>0</v>
      </c>
      <c r="H67" s="22">
        <f>IFERROR(VLOOKUP($B67, MARKAH_TKRS_BANTU_MULA!$B:$L, 11, FALSE)/20, 0)</f>
        <v>0</v>
      </c>
      <c r="I67" s="22">
        <f>IFERROR(VLOOKUP($B67, MARKAH_TKRS_IKATAN!$B:$N, 12, FALSE)/25, 0)</f>
        <v>0</v>
      </c>
      <c r="J67" s="22">
        <f t="shared" si="1"/>
        <v>0</v>
      </c>
      <c r="K67" s="23" t="str">
        <f t="shared" si="2"/>
        <v>GGG</v>
      </c>
    </row>
    <row r="68" ht="30.0" customHeight="1">
      <c r="A68" s="24">
        <v>66.0</v>
      </c>
      <c r="B68" s="24" t="s">
        <v>878</v>
      </c>
      <c r="C68" s="25" t="s">
        <v>879</v>
      </c>
      <c r="D68" s="24" t="s">
        <v>808</v>
      </c>
      <c r="E68" s="24" t="s">
        <v>10</v>
      </c>
      <c r="F68" s="24" t="s">
        <v>11</v>
      </c>
      <c r="G68" s="26">
        <f>IFERROR(VLOOKUP($B68, MARKAH_TKRS_KAWAD!$B:$BD, 54, FALSE)/95, 0)</f>
        <v>0</v>
      </c>
      <c r="H68" s="26">
        <f>IFERROR(VLOOKUP($B68, MARKAH_TKRS_BANTU_MULA!$B:$L, 11, FALSE)/20, 0)</f>
        <v>0</v>
      </c>
      <c r="I68" s="26">
        <f>IFERROR(VLOOKUP($B68, MARKAH_TKRS_IKATAN!$B:$N, 12, FALSE)/25, 0)</f>
        <v>0</v>
      </c>
      <c r="J68" s="26">
        <f t="shared" si="1"/>
        <v>0</v>
      </c>
      <c r="K68" s="27" t="str">
        <f t="shared" si="2"/>
        <v>GGG</v>
      </c>
    </row>
    <row r="69" ht="30.0" customHeight="1">
      <c r="A69" s="20">
        <v>67.0</v>
      </c>
      <c r="B69" s="20" t="s">
        <v>316</v>
      </c>
      <c r="C69" s="21" t="s">
        <v>880</v>
      </c>
      <c r="D69" s="20" t="s">
        <v>715</v>
      </c>
      <c r="E69" s="20" t="s">
        <v>10</v>
      </c>
      <c r="F69" s="20" t="s">
        <v>38</v>
      </c>
      <c r="G69" s="22">
        <f>IFERROR(VLOOKUP($B69, MARKAH_TKRS_KAWAD!$B:$BD, 54, FALSE)/95, 0)</f>
        <v>0</v>
      </c>
      <c r="H69" s="22">
        <f>IFERROR(VLOOKUP($B69, MARKAH_TKRS_BANTU_MULA!$B:$L, 11, FALSE)/20, 0)</f>
        <v>0</v>
      </c>
      <c r="I69" s="22">
        <f>IFERROR(VLOOKUP($B69, MARKAH_TKRS_IKATAN!$B:$N, 12, FALSE)/25, 0)</f>
        <v>0</v>
      </c>
      <c r="J69" s="22">
        <f t="shared" si="1"/>
        <v>0</v>
      </c>
      <c r="K69" s="23" t="str">
        <f t="shared" si="2"/>
        <v>GGG</v>
      </c>
    </row>
    <row r="70" ht="30.0" customHeight="1">
      <c r="A70" s="24">
        <v>68.0</v>
      </c>
      <c r="B70" s="24" t="s">
        <v>324</v>
      </c>
      <c r="C70" s="25" t="s">
        <v>881</v>
      </c>
      <c r="D70" s="24" t="s">
        <v>817</v>
      </c>
      <c r="E70" s="24" t="s">
        <v>10</v>
      </c>
      <c r="F70" s="24" t="s">
        <v>38</v>
      </c>
      <c r="G70" s="26">
        <f>IFERROR(VLOOKUP($B70, MARKAH_TKRS_KAWAD!$B:$BD, 54, FALSE)/95, 0)</f>
        <v>0</v>
      </c>
      <c r="H70" s="26">
        <f>IFERROR(VLOOKUP($B70, MARKAH_TKRS_BANTU_MULA!$B:$L, 11, FALSE)/20, 0)</f>
        <v>0</v>
      </c>
      <c r="I70" s="26">
        <f>IFERROR(VLOOKUP($B70, MARKAH_TKRS_IKATAN!$B:$N, 12, FALSE)/25, 0)</f>
        <v>0</v>
      </c>
      <c r="J70" s="26">
        <f t="shared" si="1"/>
        <v>0</v>
      </c>
      <c r="K70" s="27" t="str">
        <f t="shared" si="2"/>
        <v>GGG</v>
      </c>
    </row>
    <row r="71" ht="30.0" customHeight="1">
      <c r="A71" s="20">
        <v>69.0</v>
      </c>
      <c r="B71" s="20" t="s">
        <v>327</v>
      </c>
      <c r="C71" s="21" t="s">
        <v>882</v>
      </c>
      <c r="D71" s="20" t="s">
        <v>739</v>
      </c>
      <c r="E71" s="20" t="s">
        <v>10</v>
      </c>
      <c r="F71" s="20" t="s">
        <v>11</v>
      </c>
      <c r="G71" s="22">
        <f>IFERROR(VLOOKUP($B71, MARKAH_TKRS_KAWAD!$B:$BD, 54, FALSE)/95, 0)</f>
        <v>0</v>
      </c>
      <c r="H71" s="22">
        <f>IFERROR(VLOOKUP($B71, MARKAH_TKRS_BANTU_MULA!$B:$L, 11, FALSE)/20, 0)</f>
        <v>0</v>
      </c>
      <c r="I71" s="22">
        <f>IFERROR(VLOOKUP($B71, MARKAH_TKRS_IKATAN!$B:$N, 12, FALSE)/25, 0)</f>
        <v>0</v>
      </c>
      <c r="J71" s="22">
        <f t="shared" si="1"/>
        <v>0</v>
      </c>
      <c r="K71" s="23" t="str">
        <f t="shared" si="2"/>
        <v>GGG</v>
      </c>
    </row>
    <row r="72" ht="30.0" customHeight="1">
      <c r="A72" s="24">
        <v>70.0</v>
      </c>
      <c r="B72" s="24" t="s">
        <v>332</v>
      </c>
      <c r="C72" s="25" t="s">
        <v>883</v>
      </c>
      <c r="D72" s="24" t="s">
        <v>742</v>
      </c>
      <c r="E72" s="24" t="s">
        <v>10</v>
      </c>
      <c r="F72" s="24" t="s">
        <v>11</v>
      </c>
      <c r="G72" s="26">
        <f>IFERROR(VLOOKUP($B72, MARKAH_TKRS_KAWAD!$B:$BD, 54, FALSE)/95, 0)</f>
        <v>0</v>
      </c>
      <c r="H72" s="26">
        <f>IFERROR(VLOOKUP($B72, MARKAH_TKRS_BANTU_MULA!$B:$L, 11, FALSE)/20, 0)</f>
        <v>0</v>
      </c>
      <c r="I72" s="26">
        <f>IFERROR(VLOOKUP($B72, MARKAH_TKRS_IKATAN!$B:$N, 12, FALSE)/25, 0)</f>
        <v>0</v>
      </c>
      <c r="J72" s="26">
        <f t="shared" si="1"/>
        <v>0</v>
      </c>
      <c r="K72" s="27" t="str">
        <f t="shared" si="2"/>
        <v>GGG</v>
      </c>
    </row>
    <row r="73" ht="30.0" customHeight="1">
      <c r="A73" s="20">
        <v>71.0</v>
      </c>
      <c r="B73" s="20" t="s">
        <v>337</v>
      </c>
      <c r="C73" s="21" t="s">
        <v>884</v>
      </c>
      <c r="D73" s="20" t="s">
        <v>745</v>
      </c>
      <c r="E73" s="20" t="s">
        <v>10</v>
      </c>
      <c r="F73" s="20" t="s">
        <v>11</v>
      </c>
      <c r="G73" s="22">
        <f>IFERROR(VLOOKUP($B73, MARKAH_TKRS_KAWAD!$B:$BD, 54, FALSE)/95, 0)</f>
        <v>0</v>
      </c>
      <c r="H73" s="22">
        <f>IFERROR(VLOOKUP($B73, MARKAH_TKRS_BANTU_MULA!$B:$L, 11, FALSE)/20, 0)</f>
        <v>0</v>
      </c>
      <c r="I73" s="22">
        <f>IFERROR(VLOOKUP($B73, MARKAH_TKRS_IKATAN!$B:$N, 12, FALSE)/25, 0)</f>
        <v>0</v>
      </c>
      <c r="J73" s="22">
        <f t="shared" si="1"/>
        <v>0</v>
      </c>
      <c r="K73" s="23" t="str">
        <f t="shared" si="2"/>
        <v>GGG</v>
      </c>
    </row>
    <row r="74" ht="30.0" customHeight="1">
      <c r="A74" s="24">
        <v>72.0</v>
      </c>
      <c r="B74" s="24" t="s">
        <v>342</v>
      </c>
      <c r="C74" s="25" t="s">
        <v>885</v>
      </c>
      <c r="D74" s="24" t="s">
        <v>411</v>
      </c>
      <c r="E74" s="24" t="s">
        <v>10</v>
      </c>
      <c r="F74" s="24" t="s">
        <v>11</v>
      </c>
      <c r="G74" s="26">
        <f>IFERROR(VLOOKUP($B74, MARKAH_TKRS_KAWAD!$B:$BD, 54, FALSE)/95, 0)</f>
        <v>0</v>
      </c>
      <c r="H74" s="26">
        <f>IFERROR(VLOOKUP($B74, MARKAH_TKRS_BANTU_MULA!$B:$L, 11, FALSE)/20, 0)</f>
        <v>0</v>
      </c>
      <c r="I74" s="26">
        <f>IFERROR(VLOOKUP($B74, MARKAH_TKRS_IKATAN!$B:$N, 12, FALSE)/25, 0)</f>
        <v>0</v>
      </c>
      <c r="J74" s="26">
        <f t="shared" si="1"/>
        <v>0</v>
      </c>
      <c r="K74" s="27" t="str">
        <f t="shared" si="2"/>
        <v>GGG</v>
      </c>
    </row>
    <row r="75" ht="30.0" customHeight="1">
      <c r="A75" s="20">
        <v>73.0</v>
      </c>
      <c r="B75" s="20" t="s">
        <v>344</v>
      </c>
      <c r="C75" s="21" t="s">
        <v>886</v>
      </c>
      <c r="D75" s="20" t="s">
        <v>751</v>
      </c>
      <c r="E75" s="20" t="s">
        <v>10</v>
      </c>
      <c r="F75" s="20" t="s">
        <v>11</v>
      </c>
      <c r="G75" s="22">
        <f>IFERROR(VLOOKUP($B75, MARKAH_TKRS_KAWAD!$B:$BD, 54, FALSE)/95, 0)</f>
        <v>0</v>
      </c>
      <c r="H75" s="22">
        <f>IFERROR(VLOOKUP($B75, MARKAH_TKRS_BANTU_MULA!$B:$L, 11, FALSE)/20, 0)</f>
        <v>0</v>
      </c>
      <c r="I75" s="22">
        <f>IFERROR(VLOOKUP($B75, MARKAH_TKRS_IKATAN!$B:$N, 12, FALSE)/25, 0)</f>
        <v>0</v>
      </c>
      <c r="J75" s="22">
        <f t="shared" si="1"/>
        <v>0</v>
      </c>
      <c r="K75" s="23" t="str">
        <f t="shared" si="2"/>
        <v>GGG</v>
      </c>
    </row>
    <row r="76" ht="30.0" customHeight="1">
      <c r="A76" s="24">
        <v>74.0</v>
      </c>
      <c r="B76" s="24" t="s">
        <v>351</v>
      </c>
      <c r="C76" s="25" t="s">
        <v>887</v>
      </c>
      <c r="D76" s="24" t="s">
        <v>347</v>
      </c>
      <c r="E76" s="24" t="s">
        <v>10</v>
      </c>
      <c r="F76" s="24" t="s">
        <v>11</v>
      </c>
      <c r="G76" s="26">
        <f>IFERROR(VLOOKUP($B76, MARKAH_TKRS_KAWAD!$B:$BD, 54, FALSE)/95, 0)</f>
        <v>0</v>
      </c>
      <c r="H76" s="26">
        <f>IFERROR(VLOOKUP($B76, MARKAH_TKRS_BANTU_MULA!$B:$L, 11, FALSE)/20, 0)</f>
        <v>0</v>
      </c>
      <c r="I76" s="26">
        <f>IFERROR(VLOOKUP($B76, MARKAH_TKRS_IKATAN!$B:$N, 12, FALSE)/25, 0)</f>
        <v>0</v>
      </c>
      <c r="J76" s="26">
        <f t="shared" si="1"/>
        <v>0</v>
      </c>
      <c r="K76" s="27" t="str">
        <f t="shared" si="2"/>
        <v>GGG</v>
      </c>
    </row>
    <row r="77" ht="30.0" customHeight="1">
      <c r="A77" s="20">
        <v>75.0</v>
      </c>
      <c r="B77" s="20" t="s">
        <v>355</v>
      </c>
      <c r="C77" s="21" t="s">
        <v>888</v>
      </c>
      <c r="D77" s="20" t="s">
        <v>326</v>
      </c>
      <c r="E77" s="20" t="s">
        <v>10</v>
      </c>
      <c r="F77" s="20" t="s">
        <v>11</v>
      </c>
      <c r="G77" s="22">
        <f>IFERROR(VLOOKUP($B77, MARKAH_TKRS_KAWAD!$B:$BD, 54, FALSE)/95, 0)</f>
        <v>0</v>
      </c>
      <c r="H77" s="22">
        <f>IFERROR(VLOOKUP($B77, MARKAH_TKRS_BANTU_MULA!$B:$L, 11, FALSE)/20, 0)</f>
        <v>0</v>
      </c>
      <c r="I77" s="22">
        <f>IFERROR(VLOOKUP($B77, MARKAH_TKRS_IKATAN!$B:$N, 12, FALSE)/25, 0)</f>
        <v>0</v>
      </c>
      <c r="J77" s="22">
        <f t="shared" si="1"/>
        <v>0</v>
      </c>
      <c r="K77" s="23" t="str">
        <f t="shared" si="2"/>
        <v>GGG</v>
      </c>
    </row>
    <row r="78" ht="30.0" customHeight="1">
      <c r="A78" s="24">
        <v>76.0</v>
      </c>
      <c r="B78" s="24" t="s">
        <v>357</v>
      </c>
      <c r="C78" s="25" t="s">
        <v>889</v>
      </c>
      <c r="D78" s="24" t="s">
        <v>756</v>
      </c>
      <c r="E78" s="24" t="s">
        <v>10</v>
      </c>
      <c r="F78" s="24" t="s">
        <v>11</v>
      </c>
      <c r="G78" s="26">
        <f>IFERROR(VLOOKUP($B78, MARKAH_TKRS_KAWAD!$B:$BD, 54, FALSE)/95, 0)</f>
        <v>0</v>
      </c>
      <c r="H78" s="26">
        <f>IFERROR(VLOOKUP($B78, MARKAH_TKRS_BANTU_MULA!$B:$L, 11, FALSE)/20, 0)</f>
        <v>0</v>
      </c>
      <c r="I78" s="26">
        <f>IFERROR(VLOOKUP($B78, MARKAH_TKRS_IKATAN!$B:$N, 12, FALSE)/25, 0)</f>
        <v>0</v>
      </c>
      <c r="J78" s="26">
        <f t="shared" si="1"/>
        <v>0</v>
      </c>
      <c r="K78" s="27" t="str">
        <f t="shared" si="2"/>
        <v>GGG</v>
      </c>
    </row>
    <row r="79" ht="30.0" customHeight="1">
      <c r="A79" s="20">
        <v>77.0</v>
      </c>
      <c r="B79" s="20" t="s">
        <v>364</v>
      </c>
      <c r="C79" s="21" t="s">
        <v>890</v>
      </c>
      <c r="D79" s="20" t="s">
        <v>366</v>
      </c>
      <c r="E79" s="20" t="s">
        <v>10</v>
      </c>
      <c r="F79" s="20" t="s">
        <v>11</v>
      </c>
      <c r="G79" s="22">
        <f>IFERROR(VLOOKUP($B79, MARKAH_TKRS_KAWAD!$B:$BD, 54, FALSE)/95, 0)</f>
        <v>0</v>
      </c>
      <c r="H79" s="22">
        <f>IFERROR(VLOOKUP($B79, MARKAH_TKRS_BANTU_MULA!$B:$L, 11, FALSE)/20, 0)</f>
        <v>0</v>
      </c>
      <c r="I79" s="22">
        <f>IFERROR(VLOOKUP($B79, MARKAH_TKRS_IKATAN!$B:$N, 12, FALSE)/25, 0)</f>
        <v>0</v>
      </c>
      <c r="J79" s="22">
        <f t="shared" si="1"/>
        <v>0</v>
      </c>
      <c r="K79" s="23" t="str">
        <f t="shared" si="2"/>
        <v>GGG</v>
      </c>
    </row>
    <row r="80" ht="30.0" customHeight="1">
      <c r="A80" s="24">
        <v>78.0</v>
      </c>
      <c r="B80" s="24" t="s">
        <v>368</v>
      </c>
      <c r="C80" s="25" t="s">
        <v>891</v>
      </c>
      <c r="D80" s="24" t="s">
        <v>366</v>
      </c>
      <c r="E80" s="24" t="s">
        <v>10</v>
      </c>
      <c r="F80" s="24" t="s">
        <v>11</v>
      </c>
      <c r="G80" s="26">
        <f>IFERROR(VLOOKUP($B80, MARKAH_TKRS_KAWAD!$B:$BD, 54, FALSE)/95, 0)</f>
        <v>0</v>
      </c>
      <c r="H80" s="26">
        <f>IFERROR(VLOOKUP($B80, MARKAH_TKRS_BANTU_MULA!$B:$L, 11, FALSE)/20, 0)</f>
        <v>0</v>
      </c>
      <c r="I80" s="26">
        <f>IFERROR(VLOOKUP($B80, MARKAH_TKRS_IKATAN!$B:$N, 12, FALSE)/25, 0)</f>
        <v>0</v>
      </c>
      <c r="J80" s="26">
        <f t="shared" si="1"/>
        <v>0</v>
      </c>
      <c r="K80" s="27" t="str">
        <f t="shared" si="2"/>
        <v>GGG</v>
      </c>
    </row>
    <row r="81" ht="30.0" customHeight="1">
      <c r="A81" s="20">
        <v>79.0</v>
      </c>
      <c r="B81" s="20" t="s">
        <v>371</v>
      </c>
      <c r="C81" s="21" t="s">
        <v>892</v>
      </c>
      <c r="D81" s="20" t="s">
        <v>366</v>
      </c>
      <c r="E81" s="20" t="s">
        <v>10</v>
      </c>
      <c r="F81" s="20" t="s">
        <v>11</v>
      </c>
      <c r="G81" s="22">
        <f>IFERROR(VLOOKUP($B81, MARKAH_TKRS_KAWAD!$B:$BD, 54, FALSE)/95, 0)</f>
        <v>0</v>
      </c>
      <c r="H81" s="22">
        <f>IFERROR(VLOOKUP($B81, MARKAH_TKRS_BANTU_MULA!$B:$L, 11, FALSE)/20, 0)</f>
        <v>0</v>
      </c>
      <c r="I81" s="22">
        <f>IFERROR(VLOOKUP($B81, MARKAH_TKRS_IKATAN!$B:$N, 12, FALSE)/25, 0)</f>
        <v>0</v>
      </c>
      <c r="J81" s="22">
        <f t="shared" si="1"/>
        <v>0</v>
      </c>
      <c r="K81" s="23" t="str">
        <f t="shared" si="2"/>
        <v>GGG</v>
      </c>
    </row>
    <row r="82" ht="30.0" customHeight="1">
      <c r="A82" s="24">
        <v>80.0</v>
      </c>
      <c r="B82" s="24" t="s">
        <v>374</v>
      </c>
      <c r="C82" s="25" t="s">
        <v>893</v>
      </c>
      <c r="D82" s="24" t="s">
        <v>767</v>
      </c>
      <c r="E82" s="24" t="s">
        <v>10</v>
      </c>
      <c r="F82" s="24" t="s">
        <v>11</v>
      </c>
      <c r="G82" s="26">
        <f>IFERROR(VLOOKUP($B82, MARKAH_TKRS_KAWAD!$B:$BD, 54, FALSE)/95, 0)</f>
        <v>0</v>
      </c>
      <c r="H82" s="26">
        <f>IFERROR(VLOOKUP($B82, MARKAH_TKRS_BANTU_MULA!$B:$L, 11, FALSE)/20, 0)</f>
        <v>0</v>
      </c>
      <c r="I82" s="26">
        <f>IFERROR(VLOOKUP($B82, MARKAH_TKRS_IKATAN!$B:$N, 12, FALSE)/25, 0)</f>
        <v>0</v>
      </c>
      <c r="J82" s="26">
        <f t="shared" si="1"/>
        <v>0</v>
      </c>
      <c r="K82" s="27" t="str">
        <f t="shared" si="2"/>
        <v>GGG</v>
      </c>
    </row>
    <row r="83" ht="30.0" customHeight="1">
      <c r="A83" s="20">
        <v>81.0</v>
      </c>
      <c r="B83" s="20" t="s">
        <v>378</v>
      </c>
      <c r="C83" s="21" t="s">
        <v>894</v>
      </c>
      <c r="D83" s="20" t="s">
        <v>770</v>
      </c>
      <c r="E83" s="20" t="s">
        <v>10</v>
      </c>
      <c r="F83" s="20" t="s">
        <v>11</v>
      </c>
      <c r="G83" s="22">
        <f>IFERROR(VLOOKUP($B83, MARKAH_TKRS_KAWAD!$B:$BD, 54, FALSE)/95, 0)</f>
        <v>0</v>
      </c>
      <c r="H83" s="22">
        <f>IFERROR(VLOOKUP($B83, MARKAH_TKRS_BANTU_MULA!$B:$L, 11, FALSE)/20, 0)</f>
        <v>0</v>
      </c>
      <c r="I83" s="22">
        <f>IFERROR(VLOOKUP($B83, MARKAH_TKRS_IKATAN!$B:$N, 12, FALSE)/25, 0)</f>
        <v>0</v>
      </c>
      <c r="J83" s="22">
        <f t="shared" si="1"/>
        <v>0</v>
      </c>
      <c r="K83" s="23" t="str">
        <f t="shared" si="2"/>
        <v>GGG</v>
      </c>
    </row>
    <row r="84" ht="30.0" customHeight="1">
      <c r="A84" s="24">
        <v>82.0</v>
      </c>
      <c r="B84" s="24" t="s">
        <v>895</v>
      </c>
      <c r="C84" s="25" t="s">
        <v>896</v>
      </c>
      <c r="D84" s="24" t="s">
        <v>380</v>
      </c>
      <c r="E84" s="24" t="s">
        <v>10</v>
      </c>
      <c r="F84" s="24" t="s">
        <v>11</v>
      </c>
      <c r="G84" s="26">
        <f>IFERROR(VLOOKUP($B84, MARKAH_TKRS_KAWAD!$B:$BD, 54, FALSE)/95, 0)</f>
        <v>0</v>
      </c>
      <c r="H84" s="26">
        <f>IFERROR(VLOOKUP($B84, MARKAH_TKRS_BANTU_MULA!$B:$L, 11, FALSE)/20, 0)</f>
        <v>0</v>
      </c>
      <c r="I84" s="26">
        <f>IFERROR(VLOOKUP($B84, MARKAH_TKRS_IKATAN!$B:$N, 12, FALSE)/25, 0)</f>
        <v>0</v>
      </c>
      <c r="J84" s="26">
        <f t="shared" si="1"/>
        <v>0</v>
      </c>
      <c r="K84" s="27" t="str">
        <f t="shared" si="2"/>
        <v>GGG</v>
      </c>
    </row>
    <row r="85" ht="30.0" customHeight="1">
      <c r="A85" s="20">
        <v>83.0</v>
      </c>
      <c r="B85" s="20" t="s">
        <v>381</v>
      </c>
      <c r="C85" s="21" t="s">
        <v>897</v>
      </c>
      <c r="D85" s="20" t="s">
        <v>318</v>
      </c>
      <c r="E85" s="20" t="s">
        <v>10</v>
      </c>
      <c r="F85" s="20" t="s">
        <v>11</v>
      </c>
      <c r="G85" s="22">
        <f>IFERROR(VLOOKUP($B85, MARKAH_TKRS_KAWAD!$B:$BD, 54, FALSE)/95, 0)</f>
        <v>0</v>
      </c>
      <c r="H85" s="22">
        <f>IFERROR(VLOOKUP($B85, MARKAH_TKRS_BANTU_MULA!$B:$L, 11, FALSE)/20, 0)</f>
        <v>0</v>
      </c>
      <c r="I85" s="22">
        <f>IFERROR(VLOOKUP($B85, MARKAH_TKRS_IKATAN!$B:$N, 12, FALSE)/25, 0)</f>
        <v>0</v>
      </c>
      <c r="J85" s="22">
        <f t="shared" si="1"/>
        <v>0</v>
      </c>
      <c r="K85" s="23" t="str">
        <f t="shared" si="2"/>
        <v>GGG</v>
      </c>
    </row>
    <row r="86" ht="30.0" customHeight="1">
      <c r="A86" s="24">
        <v>84.0</v>
      </c>
      <c r="B86" s="24" t="s">
        <v>383</v>
      </c>
      <c r="C86" s="25" t="s">
        <v>898</v>
      </c>
      <c r="D86" s="24" t="s">
        <v>359</v>
      </c>
      <c r="E86" s="24" t="s">
        <v>10</v>
      </c>
      <c r="F86" s="24" t="s">
        <v>38</v>
      </c>
      <c r="G86" s="26">
        <f>IFERROR(VLOOKUP($B86, MARKAH_TKRS_KAWAD!$B:$BD, 54, FALSE)/95, 0)</f>
        <v>0</v>
      </c>
      <c r="H86" s="26">
        <f>IFERROR(VLOOKUP($B86, MARKAH_TKRS_BANTU_MULA!$B:$L, 11, FALSE)/20, 0)</f>
        <v>0</v>
      </c>
      <c r="I86" s="26">
        <f>IFERROR(VLOOKUP($B86, MARKAH_TKRS_IKATAN!$B:$N, 12, FALSE)/25, 0)</f>
        <v>0</v>
      </c>
      <c r="J86" s="26">
        <f t="shared" si="1"/>
        <v>0</v>
      </c>
      <c r="K86" s="27" t="str">
        <f t="shared" si="2"/>
        <v>GGG</v>
      </c>
    </row>
    <row r="87" ht="30.0" customHeight="1">
      <c r="A87" s="20">
        <v>85.0</v>
      </c>
      <c r="B87" s="20" t="s">
        <v>386</v>
      </c>
      <c r="C87" s="21" t="s">
        <v>899</v>
      </c>
      <c r="D87" s="20" t="s">
        <v>359</v>
      </c>
      <c r="E87" s="20" t="s">
        <v>10</v>
      </c>
      <c r="F87" s="20" t="s">
        <v>11</v>
      </c>
      <c r="G87" s="22">
        <f>IFERROR(VLOOKUP($B87, MARKAH_TKRS_KAWAD!$B:$BD, 54, FALSE)/95, 0)</f>
        <v>0</v>
      </c>
      <c r="H87" s="22">
        <f>IFERROR(VLOOKUP($B87, MARKAH_TKRS_BANTU_MULA!$B:$L, 11, FALSE)/20, 0)</f>
        <v>0</v>
      </c>
      <c r="I87" s="22">
        <f>IFERROR(VLOOKUP($B87, MARKAH_TKRS_IKATAN!$B:$N, 12, FALSE)/25, 0)</f>
        <v>0</v>
      </c>
      <c r="J87" s="22">
        <f t="shared" si="1"/>
        <v>0</v>
      </c>
      <c r="K87" s="23" t="str">
        <f t="shared" si="2"/>
        <v>GGG</v>
      </c>
    </row>
    <row r="88" ht="30.0" customHeight="1">
      <c r="A88" s="24">
        <v>86.0</v>
      </c>
      <c r="B88" s="24" t="s">
        <v>388</v>
      </c>
      <c r="C88" s="25" t="s">
        <v>900</v>
      </c>
      <c r="D88" s="24" t="s">
        <v>390</v>
      </c>
      <c r="E88" s="24" t="s">
        <v>10</v>
      </c>
      <c r="F88" s="24" t="s">
        <v>11</v>
      </c>
      <c r="G88" s="26">
        <f>IFERROR(VLOOKUP($B88, MARKAH_TKRS_KAWAD!$B:$BD, 54, FALSE)/95, 0)</f>
        <v>0</v>
      </c>
      <c r="H88" s="26">
        <f>IFERROR(VLOOKUP($B88, MARKAH_TKRS_BANTU_MULA!$B:$L, 11, FALSE)/20, 0)</f>
        <v>0</v>
      </c>
      <c r="I88" s="26">
        <f>IFERROR(VLOOKUP($B88, MARKAH_TKRS_IKATAN!$B:$N, 12, FALSE)/25, 0)</f>
        <v>0</v>
      </c>
      <c r="J88" s="26">
        <f t="shared" si="1"/>
        <v>0</v>
      </c>
      <c r="K88" s="27" t="str">
        <f t="shared" si="2"/>
        <v>GGG</v>
      </c>
    </row>
    <row r="89" ht="30.0" customHeight="1">
      <c r="A89" s="20">
        <v>87.0</v>
      </c>
      <c r="B89" s="20" t="s">
        <v>901</v>
      </c>
      <c r="C89" s="21" t="s">
        <v>902</v>
      </c>
      <c r="D89" s="20" t="s">
        <v>390</v>
      </c>
      <c r="E89" s="20" t="s">
        <v>10</v>
      </c>
      <c r="F89" s="20" t="s">
        <v>11</v>
      </c>
      <c r="G89" s="22">
        <f>IFERROR(VLOOKUP($B89, MARKAH_TKRS_KAWAD!$B:$BD, 54, FALSE)/95, 0)</f>
        <v>0</v>
      </c>
      <c r="H89" s="22">
        <f>IFERROR(VLOOKUP($B89, MARKAH_TKRS_BANTU_MULA!$B:$L, 11, FALSE)/20, 0)</f>
        <v>0</v>
      </c>
      <c r="I89" s="22">
        <f>IFERROR(VLOOKUP($B89, MARKAH_TKRS_IKATAN!$B:$N, 12, FALSE)/25, 0)</f>
        <v>0</v>
      </c>
      <c r="J89" s="22">
        <f t="shared" si="1"/>
        <v>0</v>
      </c>
      <c r="K89" s="23" t="str">
        <f t="shared" si="2"/>
        <v>GGG</v>
      </c>
    </row>
    <row r="90" ht="30.0" customHeight="1">
      <c r="A90" s="24">
        <v>88.0</v>
      </c>
      <c r="B90" s="24" t="s">
        <v>391</v>
      </c>
      <c r="C90" s="25" t="s">
        <v>903</v>
      </c>
      <c r="D90" s="24" t="s">
        <v>784</v>
      </c>
      <c r="E90" s="24" t="s">
        <v>10</v>
      </c>
      <c r="F90" s="24" t="s">
        <v>11</v>
      </c>
      <c r="G90" s="26">
        <f>IFERROR(VLOOKUP($B90, MARKAH_TKRS_KAWAD!$B:$BD, 54, FALSE)/95, 0)</f>
        <v>0</v>
      </c>
      <c r="H90" s="26">
        <f>IFERROR(VLOOKUP($B90, MARKAH_TKRS_BANTU_MULA!$B:$L, 11, FALSE)/20, 0)</f>
        <v>0</v>
      </c>
      <c r="I90" s="26">
        <f>IFERROR(VLOOKUP($B90, MARKAH_TKRS_IKATAN!$B:$N, 12, FALSE)/25, 0)</f>
        <v>0</v>
      </c>
      <c r="J90" s="26">
        <f t="shared" si="1"/>
        <v>0</v>
      </c>
      <c r="K90" s="27" t="str">
        <f t="shared" si="2"/>
        <v>GGG</v>
      </c>
    </row>
    <row r="91" ht="30.0" customHeight="1">
      <c r="A91" s="20">
        <v>89.0</v>
      </c>
      <c r="B91" s="20" t="s">
        <v>393</v>
      </c>
      <c r="C91" s="21" t="s">
        <v>904</v>
      </c>
      <c r="D91" s="20" t="s">
        <v>789</v>
      </c>
      <c r="E91" s="20" t="s">
        <v>10</v>
      </c>
      <c r="F91" s="20" t="s">
        <v>11</v>
      </c>
      <c r="G91" s="22">
        <f>IFERROR(VLOOKUP($B91, MARKAH_TKRS_KAWAD!$B:$BD, 54, FALSE)/95, 0)</f>
        <v>0</v>
      </c>
      <c r="H91" s="22">
        <f>IFERROR(VLOOKUP($B91, MARKAH_TKRS_BANTU_MULA!$B:$L, 11, FALSE)/20, 0)</f>
        <v>0</v>
      </c>
      <c r="I91" s="22">
        <f>IFERROR(VLOOKUP($B91, MARKAH_TKRS_IKATAN!$B:$N, 12, FALSE)/25, 0)</f>
        <v>0</v>
      </c>
      <c r="J91" s="22">
        <f t="shared" si="1"/>
        <v>0</v>
      </c>
      <c r="K91" s="23" t="str">
        <f t="shared" si="2"/>
        <v>GGG</v>
      </c>
    </row>
    <row r="92" ht="30.0" customHeight="1">
      <c r="A92" s="24">
        <v>90.0</v>
      </c>
      <c r="B92" s="24" t="s">
        <v>398</v>
      </c>
      <c r="C92" s="25" t="s">
        <v>905</v>
      </c>
      <c r="D92" s="24" t="s">
        <v>373</v>
      </c>
      <c r="E92" s="24" t="s">
        <v>10</v>
      </c>
      <c r="F92" s="24" t="s">
        <v>11</v>
      </c>
      <c r="G92" s="26">
        <f>IFERROR(VLOOKUP($B92, MARKAH_TKRS_KAWAD!$B:$BD, 54, FALSE)/95, 0)</f>
        <v>0</v>
      </c>
      <c r="H92" s="26">
        <f>IFERROR(VLOOKUP($B92, MARKAH_TKRS_BANTU_MULA!$B:$L, 11, FALSE)/20, 0)</f>
        <v>0</v>
      </c>
      <c r="I92" s="26">
        <f>IFERROR(VLOOKUP($B92, MARKAH_TKRS_IKATAN!$B:$N, 12, FALSE)/25, 0)</f>
        <v>0</v>
      </c>
      <c r="J92" s="26">
        <f t="shared" si="1"/>
        <v>0</v>
      </c>
      <c r="K92" s="27" t="str">
        <f t="shared" si="2"/>
        <v>GGG</v>
      </c>
    </row>
    <row r="93" ht="30.0" customHeight="1">
      <c r="A93" s="20">
        <v>91.0</v>
      </c>
      <c r="B93" s="20" t="s">
        <v>906</v>
      </c>
      <c r="C93" s="21" t="s">
        <v>907</v>
      </c>
      <c r="D93" s="20" t="s">
        <v>396</v>
      </c>
      <c r="E93" s="20" t="s">
        <v>10</v>
      </c>
      <c r="F93" s="20" t="s">
        <v>11</v>
      </c>
      <c r="G93" s="22">
        <f>IFERROR(VLOOKUP($B93, MARKAH_TKRS_KAWAD!$B:$BD, 54, FALSE)/95, 0)</f>
        <v>0</v>
      </c>
      <c r="H93" s="22">
        <f>IFERROR(VLOOKUP($B93, MARKAH_TKRS_BANTU_MULA!$B:$L, 11, FALSE)/20, 0)</f>
        <v>0</v>
      </c>
      <c r="I93" s="22">
        <f>IFERROR(VLOOKUP($B93, MARKAH_TKRS_IKATAN!$B:$N, 12, FALSE)/25, 0)</f>
        <v>0</v>
      </c>
      <c r="J93" s="22">
        <f t="shared" si="1"/>
        <v>0</v>
      </c>
      <c r="K93" s="23" t="str">
        <f t="shared" si="2"/>
        <v>GGG</v>
      </c>
    </row>
    <row r="94" ht="30.0" customHeight="1">
      <c r="A94" s="24">
        <v>92.0</v>
      </c>
      <c r="B94" s="24" t="s">
        <v>400</v>
      </c>
      <c r="C94" s="25" t="s">
        <v>908</v>
      </c>
      <c r="D94" s="24" t="s">
        <v>796</v>
      </c>
      <c r="E94" s="24" t="s">
        <v>10</v>
      </c>
      <c r="F94" s="24" t="s">
        <v>11</v>
      </c>
      <c r="G94" s="26">
        <f>IFERROR(VLOOKUP($B94, MARKAH_TKRS_KAWAD!$B:$BD, 54, FALSE)/95, 0)</f>
        <v>0</v>
      </c>
      <c r="H94" s="26">
        <f>IFERROR(VLOOKUP($B94, MARKAH_TKRS_BANTU_MULA!$B:$L, 11, FALSE)/20, 0)</f>
        <v>0</v>
      </c>
      <c r="I94" s="26">
        <f>IFERROR(VLOOKUP($B94, MARKAH_TKRS_IKATAN!$B:$N, 12, FALSE)/25, 0)</f>
        <v>0</v>
      </c>
      <c r="J94" s="26">
        <f t="shared" si="1"/>
        <v>0</v>
      </c>
      <c r="K94" s="27" t="str">
        <f t="shared" si="2"/>
        <v>GGG</v>
      </c>
    </row>
    <row r="95" ht="30.0" customHeight="1">
      <c r="A95" s="20">
        <v>93.0</v>
      </c>
      <c r="B95" s="20" t="s">
        <v>402</v>
      </c>
      <c r="C95" s="21" t="s">
        <v>909</v>
      </c>
      <c r="D95" s="20" t="s">
        <v>799</v>
      </c>
      <c r="E95" s="20" t="s">
        <v>10</v>
      </c>
      <c r="F95" s="20" t="s">
        <v>11</v>
      </c>
      <c r="G95" s="22">
        <f>IFERROR(VLOOKUP($B95, MARKAH_TKRS_KAWAD!$B:$BD, 54, FALSE)/95, 0)</f>
        <v>0</v>
      </c>
      <c r="H95" s="22">
        <f>IFERROR(VLOOKUP($B95, MARKAH_TKRS_BANTU_MULA!$B:$L, 11, FALSE)/20, 0)</f>
        <v>0</v>
      </c>
      <c r="I95" s="22">
        <f>IFERROR(VLOOKUP($B95, MARKAH_TKRS_IKATAN!$B:$N, 12, FALSE)/25, 0)</f>
        <v>0</v>
      </c>
      <c r="J95" s="22">
        <f t="shared" si="1"/>
        <v>0</v>
      </c>
      <c r="K95" s="23" t="str">
        <f t="shared" si="2"/>
        <v>GGG</v>
      </c>
    </row>
    <row r="96" ht="30.0" customHeight="1">
      <c r="A96" s="24">
        <v>94.0</v>
      </c>
      <c r="B96" s="24" t="s">
        <v>404</v>
      </c>
      <c r="C96" s="25" t="s">
        <v>910</v>
      </c>
      <c r="D96" s="24" t="s">
        <v>802</v>
      </c>
      <c r="E96" s="24" t="s">
        <v>10</v>
      </c>
      <c r="F96" s="24" t="s">
        <v>11</v>
      </c>
      <c r="G96" s="26">
        <f>IFERROR(VLOOKUP($B96, MARKAH_TKRS_KAWAD!$B:$BD, 54, FALSE)/95, 0)</f>
        <v>0</v>
      </c>
      <c r="H96" s="26">
        <f>IFERROR(VLOOKUP($B96, MARKAH_TKRS_BANTU_MULA!$B:$L, 11, FALSE)/20, 0)</f>
        <v>0</v>
      </c>
      <c r="I96" s="26">
        <f>IFERROR(VLOOKUP($B96, MARKAH_TKRS_IKATAN!$B:$N, 12, FALSE)/25, 0)</f>
        <v>0</v>
      </c>
      <c r="J96" s="26">
        <f t="shared" si="1"/>
        <v>0</v>
      </c>
      <c r="K96" s="27" t="str">
        <f t="shared" si="2"/>
        <v>GGG</v>
      </c>
    </row>
    <row r="97" ht="30.0" customHeight="1">
      <c r="A97" s="20">
        <v>95.0</v>
      </c>
      <c r="B97" s="20" t="s">
        <v>407</v>
      </c>
      <c r="C97" s="21" t="s">
        <v>911</v>
      </c>
      <c r="D97" s="20" t="s">
        <v>805</v>
      </c>
      <c r="E97" s="20" t="s">
        <v>10</v>
      </c>
      <c r="F97" s="20" t="s">
        <v>11</v>
      </c>
      <c r="G97" s="22">
        <f>IFERROR(VLOOKUP($B97, MARKAH_TKRS_KAWAD!$B:$BD, 54, FALSE)/95, 0)</f>
        <v>0</v>
      </c>
      <c r="H97" s="22">
        <f>IFERROR(VLOOKUP($B97, MARKAH_TKRS_BANTU_MULA!$B:$L, 11, FALSE)/20, 0)</f>
        <v>0</v>
      </c>
      <c r="I97" s="22">
        <f>IFERROR(VLOOKUP($B97, MARKAH_TKRS_IKATAN!$B:$N, 12, FALSE)/25, 0)</f>
        <v>0</v>
      </c>
      <c r="J97" s="22">
        <f t="shared" si="1"/>
        <v>0</v>
      </c>
      <c r="K97" s="23" t="str">
        <f t="shared" si="2"/>
        <v>GGG</v>
      </c>
    </row>
    <row r="98" ht="30.0" customHeight="1">
      <c r="A98" s="24">
        <v>96.0</v>
      </c>
      <c r="B98" s="24" t="s">
        <v>912</v>
      </c>
      <c r="C98" s="25" t="s">
        <v>913</v>
      </c>
      <c r="D98" s="24" t="s">
        <v>805</v>
      </c>
      <c r="E98" s="24" t="s">
        <v>10</v>
      </c>
      <c r="F98" s="24" t="s">
        <v>11</v>
      </c>
      <c r="G98" s="26">
        <f>IFERROR(VLOOKUP($B98, MARKAH_TKRS_KAWAD!$B:$BD, 54, FALSE)/95, 0)</f>
        <v>0</v>
      </c>
      <c r="H98" s="26">
        <f>IFERROR(VLOOKUP($B98, MARKAH_TKRS_BANTU_MULA!$B:$L, 11, FALSE)/20, 0)</f>
        <v>0</v>
      </c>
      <c r="I98" s="26">
        <f>IFERROR(VLOOKUP($B98, MARKAH_TKRS_IKATAN!$B:$N, 12, FALSE)/25, 0)</f>
        <v>0</v>
      </c>
      <c r="J98" s="26">
        <f t="shared" si="1"/>
        <v>0</v>
      </c>
      <c r="K98" s="27" t="str">
        <f t="shared" si="2"/>
        <v>GGG</v>
      </c>
    </row>
    <row r="99" ht="30.0" customHeight="1">
      <c r="A99" s="20">
        <v>97.0</v>
      </c>
      <c r="B99" s="20" t="s">
        <v>914</v>
      </c>
      <c r="C99" s="21" t="s">
        <v>915</v>
      </c>
      <c r="D99" s="20" t="s">
        <v>808</v>
      </c>
      <c r="E99" s="20" t="s">
        <v>10</v>
      </c>
      <c r="F99" s="20" t="s">
        <v>11</v>
      </c>
      <c r="G99" s="22">
        <f>IFERROR(VLOOKUP($B99, MARKAH_TKRS_KAWAD!$B:$BD, 54, FALSE)/95, 0)</f>
        <v>0</v>
      </c>
      <c r="H99" s="22">
        <f>IFERROR(VLOOKUP($B99, MARKAH_TKRS_BANTU_MULA!$B:$L, 11, FALSE)/20, 0)</f>
        <v>0</v>
      </c>
      <c r="I99" s="22">
        <f>IFERROR(VLOOKUP($B99, MARKAH_TKRS_IKATAN!$B:$N, 12, FALSE)/25, 0)</f>
        <v>0</v>
      </c>
      <c r="J99" s="22">
        <f t="shared" si="1"/>
        <v>0</v>
      </c>
      <c r="K99" s="23" t="str">
        <f t="shared" si="2"/>
        <v>GGG</v>
      </c>
    </row>
    <row r="100" ht="30.0" customHeight="1">
      <c r="A100" s="24">
        <v>98.0</v>
      </c>
      <c r="B100" s="24" t="s">
        <v>409</v>
      </c>
      <c r="C100" s="25" t="s">
        <v>916</v>
      </c>
      <c r="D100" s="24" t="s">
        <v>808</v>
      </c>
      <c r="E100" s="24" t="s">
        <v>10</v>
      </c>
      <c r="F100" s="24" t="s">
        <v>11</v>
      </c>
      <c r="G100" s="26">
        <f>IFERROR(VLOOKUP($B100, MARKAH_TKRS_KAWAD!$B:$BD, 54, FALSE)/95, 0)</f>
        <v>0</v>
      </c>
      <c r="H100" s="26">
        <f>IFERROR(VLOOKUP($B100, MARKAH_TKRS_BANTU_MULA!$B:$L, 11, FALSE)/20, 0)</f>
        <v>0</v>
      </c>
      <c r="I100" s="26">
        <f>IFERROR(VLOOKUP($B100, MARKAH_TKRS_IKATAN!$B:$N, 12, FALSE)/25, 0)</f>
        <v>0</v>
      </c>
      <c r="J100" s="26">
        <f t="shared" si="1"/>
        <v>0</v>
      </c>
      <c r="K100" s="27" t="str">
        <f t="shared" si="2"/>
        <v>GGG</v>
      </c>
    </row>
    <row r="101" ht="30.0" customHeight="1">
      <c r="A101" s="20">
        <v>99.0</v>
      </c>
      <c r="B101" s="20" t="s">
        <v>917</v>
      </c>
      <c r="C101" s="21" t="s">
        <v>918</v>
      </c>
      <c r="D101" s="20" t="s">
        <v>667</v>
      </c>
      <c r="E101" s="20" t="s">
        <v>18</v>
      </c>
      <c r="F101" s="20" t="s">
        <v>11</v>
      </c>
      <c r="G101" s="22">
        <f>IFERROR(VLOOKUP($B101, MARKAH_TKRS_KAWAD!$B:$BD, 54, FALSE)/95, 0)</f>
        <v>0</v>
      </c>
      <c r="H101" s="22">
        <f>IFERROR(VLOOKUP($B101, MARKAH_TKRS_BANTU_MULA!$B:$L, 11, FALSE)/20, 0)</f>
        <v>0</v>
      </c>
      <c r="I101" s="22">
        <f>IFERROR(VLOOKUP($B101, MARKAH_TKRS_IKATAN!$B:$N, 12, FALSE)/25, 0)</f>
        <v>0</v>
      </c>
      <c r="J101" s="22">
        <f t="shared" si="1"/>
        <v>0</v>
      </c>
      <c r="K101" s="23" t="str">
        <f t="shared" si="2"/>
        <v>GGG</v>
      </c>
    </row>
    <row r="102" ht="30.0" customHeight="1">
      <c r="A102" s="24">
        <v>100.0</v>
      </c>
      <c r="B102" s="24" t="s">
        <v>919</v>
      </c>
      <c r="C102" s="25" t="s">
        <v>920</v>
      </c>
      <c r="D102" s="24" t="s">
        <v>715</v>
      </c>
      <c r="E102" s="24" t="s">
        <v>18</v>
      </c>
      <c r="F102" s="24" t="s">
        <v>38</v>
      </c>
      <c r="G102" s="26">
        <f>IFERROR(VLOOKUP($B102, MARKAH_TKRS_KAWAD!$B:$BD, 54, FALSE)/95, 0)</f>
        <v>0</v>
      </c>
      <c r="H102" s="26">
        <f>IFERROR(VLOOKUP($B102, MARKAH_TKRS_BANTU_MULA!$B:$L, 11, FALSE)/20, 0)</f>
        <v>0</v>
      </c>
      <c r="I102" s="26">
        <f>IFERROR(VLOOKUP($B102, MARKAH_TKRS_IKATAN!$B:$N, 12, FALSE)/25, 0)</f>
        <v>0</v>
      </c>
      <c r="J102" s="26">
        <f t="shared" si="1"/>
        <v>0</v>
      </c>
      <c r="K102" s="27" t="str">
        <f t="shared" si="2"/>
        <v>GGG</v>
      </c>
    </row>
    <row r="103" ht="30.0" customHeight="1">
      <c r="A103" s="20">
        <v>101.0</v>
      </c>
      <c r="B103" s="20" t="s">
        <v>921</v>
      </c>
      <c r="C103" s="21" t="s">
        <v>922</v>
      </c>
      <c r="D103" s="20" t="s">
        <v>733</v>
      </c>
      <c r="E103" s="20" t="s">
        <v>18</v>
      </c>
      <c r="F103" s="20" t="s">
        <v>38</v>
      </c>
      <c r="G103" s="22">
        <f>IFERROR(VLOOKUP($B103, MARKAH_TKRS_KAWAD!$B:$BD, 54, FALSE)/95, 0)</f>
        <v>0</v>
      </c>
      <c r="H103" s="22">
        <f>IFERROR(VLOOKUP($B103, MARKAH_TKRS_BANTU_MULA!$B:$L, 11, FALSE)/20, 0)</f>
        <v>0</v>
      </c>
      <c r="I103" s="22">
        <f>IFERROR(VLOOKUP($B103, MARKAH_TKRS_IKATAN!$B:$N, 12, FALSE)/25, 0)</f>
        <v>0</v>
      </c>
      <c r="J103" s="22">
        <f t="shared" si="1"/>
        <v>0</v>
      </c>
      <c r="K103" s="23" t="str">
        <f t="shared" si="2"/>
        <v>GGG</v>
      </c>
    </row>
    <row r="104" ht="30.0" customHeight="1">
      <c r="A104" s="24">
        <v>102.0</v>
      </c>
      <c r="B104" s="24" t="s">
        <v>923</v>
      </c>
      <c r="C104" s="25" t="s">
        <v>924</v>
      </c>
      <c r="D104" s="24" t="s">
        <v>925</v>
      </c>
      <c r="E104" s="24" t="s">
        <v>18</v>
      </c>
      <c r="F104" s="24" t="s">
        <v>11</v>
      </c>
      <c r="G104" s="26">
        <f>IFERROR(VLOOKUP($B104, MARKAH_TKRS_KAWAD!$B:$BD, 54, FALSE)/95, 0)</f>
        <v>0</v>
      </c>
      <c r="H104" s="26">
        <f>IFERROR(VLOOKUP($B104, MARKAH_TKRS_BANTU_MULA!$B:$L, 11, FALSE)/20, 0)</f>
        <v>0</v>
      </c>
      <c r="I104" s="26">
        <f>IFERROR(VLOOKUP($B104, MARKAH_TKRS_IKATAN!$B:$N, 12, FALSE)/25, 0)</f>
        <v>0</v>
      </c>
      <c r="J104" s="26">
        <f t="shared" si="1"/>
        <v>0</v>
      </c>
      <c r="K104" s="27" t="str">
        <f t="shared" si="2"/>
        <v>GGG</v>
      </c>
    </row>
    <row r="105" ht="30.0" customHeight="1">
      <c r="A105" s="20">
        <v>103.0</v>
      </c>
      <c r="B105" s="20" t="s">
        <v>927</v>
      </c>
      <c r="C105" s="21" t="s">
        <v>928</v>
      </c>
      <c r="D105" s="20" t="s">
        <v>929</v>
      </c>
      <c r="E105" s="20" t="s">
        <v>18</v>
      </c>
      <c r="F105" s="20" t="s">
        <v>11</v>
      </c>
      <c r="G105" s="22">
        <f>IFERROR(VLOOKUP($B105, MARKAH_TKRS_KAWAD!$B:$BD, 54, FALSE)/95, 0)</f>
        <v>0</v>
      </c>
      <c r="H105" s="22">
        <f>IFERROR(VLOOKUP($B105, MARKAH_TKRS_BANTU_MULA!$B:$L, 11, FALSE)/20, 0)</f>
        <v>0</v>
      </c>
      <c r="I105" s="22">
        <f>IFERROR(VLOOKUP($B105, MARKAH_TKRS_IKATAN!$B:$N, 12, FALSE)/25, 0)</f>
        <v>0</v>
      </c>
      <c r="J105" s="22">
        <f t="shared" si="1"/>
        <v>0</v>
      </c>
      <c r="K105" s="23" t="str">
        <f t="shared" si="2"/>
        <v>GGG</v>
      </c>
    </row>
    <row r="106" ht="30.0" customHeight="1">
      <c r="A106" s="24">
        <v>104.0</v>
      </c>
      <c r="B106" s="24" t="s">
        <v>930</v>
      </c>
      <c r="C106" s="25" t="s">
        <v>931</v>
      </c>
      <c r="D106" s="24" t="s">
        <v>929</v>
      </c>
      <c r="E106" s="24" t="s">
        <v>18</v>
      </c>
      <c r="F106" s="24" t="s">
        <v>38</v>
      </c>
      <c r="G106" s="26">
        <f>IFERROR(VLOOKUP($B106, MARKAH_TKRS_KAWAD!$B:$BD, 54, FALSE)/95, 0)</f>
        <v>0</v>
      </c>
      <c r="H106" s="26">
        <f>IFERROR(VLOOKUP($B106, MARKAH_TKRS_BANTU_MULA!$B:$L, 11, FALSE)/20, 0)</f>
        <v>0</v>
      </c>
      <c r="I106" s="26">
        <f>IFERROR(VLOOKUP($B106, MARKAH_TKRS_IKATAN!$B:$N, 12, FALSE)/25, 0)</f>
        <v>0</v>
      </c>
      <c r="J106" s="26">
        <f t="shared" si="1"/>
        <v>0</v>
      </c>
      <c r="K106" s="27" t="str">
        <f t="shared" si="2"/>
        <v>GGG</v>
      </c>
    </row>
    <row r="107" ht="30.0" customHeight="1">
      <c r="A107" s="20">
        <v>105.0</v>
      </c>
      <c r="B107" s="20" t="s">
        <v>932</v>
      </c>
      <c r="C107" s="21" t="s">
        <v>933</v>
      </c>
      <c r="D107" s="20" t="s">
        <v>745</v>
      </c>
      <c r="E107" s="20" t="s">
        <v>18</v>
      </c>
      <c r="F107" s="20" t="s">
        <v>11</v>
      </c>
      <c r="G107" s="22">
        <f>IFERROR(VLOOKUP($B107, MARKAH_TKRS_KAWAD!$B:$BD, 54, FALSE)/95, 0)</f>
        <v>0</v>
      </c>
      <c r="H107" s="22">
        <f>IFERROR(VLOOKUP($B107, MARKAH_TKRS_BANTU_MULA!$B:$L, 11, FALSE)/20, 0)</f>
        <v>0</v>
      </c>
      <c r="I107" s="22">
        <f>IFERROR(VLOOKUP($B107, MARKAH_TKRS_IKATAN!$B:$N, 12, FALSE)/25, 0)</f>
        <v>0</v>
      </c>
      <c r="J107" s="22">
        <f t="shared" si="1"/>
        <v>0</v>
      </c>
      <c r="K107" s="23" t="str">
        <f t="shared" si="2"/>
        <v>GGG</v>
      </c>
    </row>
    <row r="108" ht="30.0" customHeight="1">
      <c r="A108" s="24">
        <v>106.0</v>
      </c>
      <c r="B108" s="24" t="s">
        <v>934</v>
      </c>
      <c r="C108" s="25" t="s">
        <v>935</v>
      </c>
      <c r="D108" s="24" t="s">
        <v>411</v>
      </c>
      <c r="E108" s="24" t="s">
        <v>18</v>
      </c>
      <c r="F108" s="24" t="s">
        <v>11</v>
      </c>
      <c r="G108" s="26">
        <f>IFERROR(VLOOKUP($B108, MARKAH_TKRS_KAWAD!$B:$BD, 54, FALSE)/95, 0)</f>
        <v>0</v>
      </c>
      <c r="H108" s="26">
        <f>IFERROR(VLOOKUP($B108, MARKAH_TKRS_BANTU_MULA!$B:$L, 11, FALSE)/20, 0)</f>
        <v>0</v>
      </c>
      <c r="I108" s="26">
        <f>IFERROR(VLOOKUP($B108, MARKAH_TKRS_IKATAN!$B:$N, 12, FALSE)/25, 0)</f>
        <v>0</v>
      </c>
      <c r="J108" s="26">
        <f t="shared" si="1"/>
        <v>0</v>
      </c>
      <c r="K108" s="27" t="str">
        <f t="shared" si="2"/>
        <v>GGG</v>
      </c>
    </row>
    <row r="109" ht="30.0" customHeight="1">
      <c r="A109" s="20">
        <v>107.0</v>
      </c>
      <c r="B109" s="20" t="s">
        <v>936</v>
      </c>
      <c r="C109" s="21" t="s">
        <v>937</v>
      </c>
      <c r="D109" s="20" t="s">
        <v>751</v>
      </c>
      <c r="E109" s="20" t="s">
        <v>18</v>
      </c>
      <c r="F109" s="20" t="s">
        <v>11</v>
      </c>
      <c r="G109" s="22">
        <f>IFERROR(VLOOKUP($B109, MARKAH_TKRS_KAWAD!$B:$BD, 54, FALSE)/95, 0)</f>
        <v>0</v>
      </c>
      <c r="H109" s="22">
        <f>IFERROR(VLOOKUP($B109, MARKAH_TKRS_BANTU_MULA!$B:$L, 11, FALSE)/20, 0)</f>
        <v>0</v>
      </c>
      <c r="I109" s="22">
        <f>IFERROR(VLOOKUP($B109, MARKAH_TKRS_IKATAN!$B:$N, 12, FALSE)/25, 0)</f>
        <v>0</v>
      </c>
      <c r="J109" s="22">
        <f t="shared" si="1"/>
        <v>0</v>
      </c>
      <c r="K109" s="23" t="str">
        <f t="shared" si="2"/>
        <v>GGG</v>
      </c>
    </row>
    <row r="110" ht="30.0" customHeight="1">
      <c r="A110" s="24">
        <v>108.0</v>
      </c>
      <c r="B110" s="24" t="s">
        <v>938</v>
      </c>
      <c r="C110" s="25" t="s">
        <v>939</v>
      </c>
      <c r="D110" s="24" t="s">
        <v>326</v>
      </c>
      <c r="E110" s="24" t="s">
        <v>18</v>
      </c>
      <c r="F110" s="24" t="s">
        <v>11</v>
      </c>
      <c r="G110" s="26">
        <f>IFERROR(VLOOKUP($B110, MARKAH_TKRS_KAWAD!$B:$BD, 54, FALSE)/95, 0)</f>
        <v>0</v>
      </c>
      <c r="H110" s="26">
        <f>IFERROR(VLOOKUP($B110, MARKAH_TKRS_BANTU_MULA!$B:$L, 11, FALSE)/20, 0)</f>
        <v>0</v>
      </c>
      <c r="I110" s="26">
        <f>IFERROR(VLOOKUP($B110, MARKAH_TKRS_IKATAN!$B:$N, 12, FALSE)/25, 0)</f>
        <v>0</v>
      </c>
      <c r="J110" s="26">
        <f t="shared" si="1"/>
        <v>0</v>
      </c>
      <c r="K110" s="27" t="str">
        <f t="shared" si="2"/>
        <v>GGG</v>
      </c>
    </row>
    <row r="111" ht="30.0" customHeight="1">
      <c r="A111" s="20">
        <v>109.0</v>
      </c>
      <c r="B111" s="20" t="s">
        <v>940</v>
      </c>
      <c r="C111" s="21" t="s">
        <v>941</v>
      </c>
      <c r="D111" s="20" t="s">
        <v>366</v>
      </c>
      <c r="E111" s="20" t="s">
        <v>18</v>
      </c>
      <c r="F111" s="20" t="s">
        <v>11</v>
      </c>
      <c r="G111" s="22">
        <f>IFERROR(VLOOKUP($B111, MARKAH_TKRS_KAWAD!$B:$BD, 54, FALSE)/95, 0)</f>
        <v>0</v>
      </c>
      <c r="H111" s="22">
        <f>IFERROR(VLOOKUP($B111, MARKAH_TKRS_BANTU_MULA!$B:$L, 11, FALSE)/20, 0)</f>
        <v>0</v>
      </c>
      <c r="I111" s="22">
        <f>IFERROR(VLOOKUP($B111, MARKAH_TKRS_IKATAN!$B:$N, 12, FALSE)/25, 0)</f>
        <v>0</v>
      </c>
      <c r="J111" s="22">
        <f t="shared" si="1"/>
        <v>0</v>
      </c>
      <c r="K111" s="23" t="str">
        <f t="shared" si="2"/>
        <v>GGG</v>
      </c>
    </row>
    <row r="112" ht="30.0" customHeight="1">
      <c r="A112" s="24">
        <v>110.0</v>
      </c>
      <c r="B112" s="24" t="s">
        <v>942</v>
      </c>
      <c r="C112" s="25" t="s">
        <v>943</v>
      </c>
      <c r="D112" s="24" t="s">
        <v>770</v>
      </c>
      <c r="E112" s="24" t="s">
        <v>18</v>
      </c>
      <c r="F112" s="24" t="s">
        <v>11</v>
      </c>
      <c r="G112" s="26">
        <f>IFERROR(VLOOKUP($B112, MARKAH_TKRS_KAWAD!$B:$BD, 54, FALSE)/95, 0)</f>
        <v>0</v>
      </c>
      <c r="H112" s="26">
        <f>IFERROR(VLOOKUP($B112, MARKAH_TKRS_BANTU_MULA!$B:$L, 11, FALSE)/20, 0)</f>
        <v>0</v>
      </c>
      <c r="I112" s="26">
        <f>IFERROR(VLOOKUP($B112, MARKAH_TKRS_IKATAN!$B:$N, 12, FALSE)/25, 0)</f>
        <v>0</v>
      </c>
      <c r="J112" s="26">
        <f t="shared" si="1"/>
        <v>0</v>
      </c>
      <c r="K112" s="27" t="str">
        <f t="shared" si="2"/>
        <v>GGG</v>
      </c>
    </row>
    <row r="113" ht="30.0" customHeight="1">
      <c r="A113" s="20">
        <v>111.0</v>
      </c>
      <c r="B113" s="20" t="s">
        <v>944</v>
      </c>
      <c r="C113" s="21" t="s">
        <v>945</v>
      </c>
      <c r="D113" s="20" t="s">
        <v>380</v>
      </c>
      <c r="E113" s="20" t="s">
        <v>18</v>
      </c>
      <c r="F113" s="20" t="s">
        <v>11</v>
      </c>
      <c r="G113" s="22">
        <f>IFERROR(VLOOKUP($B113, MARKAH_TKRS_KAWAD!$B:$BD, 54, FALSE)/95, 0)</f>
        <v>0</v>
      </c>
      <c r="H113" s="22">
        <f>IFERROR(VLOOKUP($B113, MARKAH_TKRS_BANTU_MULA!$B:$L, 11, FALSE)/20, 0)</f>
        <v>0</v>
      </c>
      <c r="I113" s="22">
        <f>IFERROR(VLOOKUP($B113, MARKAH_TKRS_IKATAN!$B:$N, 12, FALSE)/25, 0)</f>
        <v>0</v>
      </c>
      <c r="J113" s="22">
        <f t="shared" si="1"/>
        <v>0</v>
      </c>
      <c r="K113" s="23" t="str">
        <f t="shared" si="2"/>
        <v>GGG</v>
      </c>
    </row>
    <row r="114" ht="30.0" customHeight="1">
      <c r="A114" s="24">
        <v>112.0</v>
      </c>
      <c r="B114" s="24" t="s">
        <v>946</v>
      </c>
      <c r="C114" s="25" t="s">
        <v>947</v>
      </c>
      <c r="D114" s="24" t="s">
        <v>318</v>
      </c>
      <c r="E114" s="24" t="s">
        <v>18</v>
      </c>
      <c r="F114" s="24" t="s">
        <v>11</v>
      </c>
      <c r="G114" s="26">
        <f>IFERROR(VLOOKUP($B114, MARKAH_TKRS_KAWAD!$B:$BD, 54, FALSE)/95, 0)</f>
        <v>0</v>
      </c>
      <c r="H114" s="26">
        <f>IFERROR(VLOOKUP($B114, MARKAH_TKRS_BANTU_MULA!$B:$L, 11, FALSE)/20, 0)</f>
        <v>0</v>
      </c>
      <c r="I114" s="26">
        <f>IFERROR(VLOOKUP($B114, MARKAH_TKRS_IKATAN!$B:$N, 12, FALSE)/25, 0)</f>
        <v>0</v>
      </c>
      <c r="J114" s="26">
        <f t="shared" si="1"/>
        <v>0</v>
      </c>
      <c r="K114" s="27" t="str">
        <f t="shared" si="2"/>
        <v>GGG</v>
      </c>
    </row>
    <row r="115" ht="30.0" customHeight="1">
      <c r="A115" s="20">
        <v>113.0</v>
      </c>
      <c r="B115" s="20" t="s">
        <v>948</v>
      </c>
      <c r="C115" s="21" t="s">
        <v>949</v>
      </c>
      <c r="D115" s="20" t="s">
        <v>359</v>
      </c>
      <c r="E115" s="20" t="s">
        <v>18</v>
      </c>
      <c r="F115" s="20" t="s">
        <v>11</v>
      </c>
      <c r="G115" s="22">
        <f>IFERROR(VLOOKUP($B115, MARKAH_TKRS_KAWAD!$B:$BD, 54, FALSE)/95, 0)</f>
        <v>0</v>
      </c>
      <c r="H115" s="22">
        <f>IFERROR(VLOOKUP($B115, MARKAH_TKRS_BANTU_MULA!$B:$L, 11, FALSE)/20, 0)</f>
        <v>0</v>
      </c>
      <c r="I115" s="22">
        <f>IFERROR(VLOOKUP($B115, MARKAH_TKRS_IKATAN!$B:$N, 12, FALSE)/25, 0)</f>
        <v>0</v>
      </c>
      <c r="J115" s="22">
        <f t="shared" si="1"/>
        <v>0</v>
      </c>
      <c r="K115" s="23" t="str">
        <f t="shared" si="2"/>
        <v>GGG</v>
      </c>
    </row>
    <row r="116" ht="30.0" customHeight="1">
      <c r="A116" s="24">
        <v>114.0</v>
      </c>
      <c r="B116" s="24" t="s">
        <v>950</v>
      </c>
      <c r="C116" s="25" t="s">
        <v>951</v>
      </c>
      <c r="D116" s="24" t="s">
        <v>359</v>
      </c>
      <c r="E116" s="24" t="s">
        <v>18</v>
      </c>
      <c r="F116" s="24" t="s">
        <v>11</v>
      </c>
      <c r="G116" s="26">
        <f>IFERROR(VLOOKUP($B116, MARKAH_TKRS_KAWAD!$B:$BD, 54, FALSE)/95, 0)</f>
        <v>0</v>
      </c>
      <c r="H116" s="26">
        <f>IFERROR(VLOOKUP($B116, MARKAH_TKRS_BANTU_MULA!$B:$L, 11, FALSE)/20, 0)</f>
        <v>0</v>
      </c>
      <c r="I116" s="26">
        <f>IFERROR(VLOOKUP($B116, MARKAH_TKRS_IKATAN!$B:$N, 12, FALSE)/25, 0)</f>
        <v>0</v>
      </c>
      <c r="J116" s="26">
        <f t="shared" si="1"/>
        <v>0</v>
      </c>
      <c r="K116" s="27" t="str">
        <f t="shared" si="2"/>
        <v>GGG</v>
      </c>
    </row>
    <row r="117" ht="30.0" customHeight="1">
      <c r="A117" s="20">
        <v>115.0</v>
      </c>
      <c r="B117" s="20" t="s">
        <v>952</v>
      </c>
      <c r="C117" s="21" t="s">
        <v>953</v>
      </c>
      <c r="D117" s="20" t="s">
        <v>396</v>
      </c>
      <c r="E117" s="20" t="s">
        <v>18</v>
      </c>
      <c r="F117" s="20" t="s">
        <v>11</v>
      </c>
      <c r="G117" s="22">
        <f>IFERROR(VLOOKUP($B117, MARKAH_TKRS_KAWAD!$B:$BD, 54, FALSE)/95, 0)</f>
        <v>0</v>
      </c>
      <c r="H117" s="22">
        <f>IFERROR(VLOOKUP($B117, MARKAH_TKRS_BANTU_MULA!$B:$L, 11, FALSE)/20, 0)</f>
        <v>0</v>
      </c>
      <c r="I117" s="22">
        <f>IFERROR(VLOOKUP($B117, MARKAH_TKRS_IKATAN!$B:$N, 12, FALSE)/25, 0)</f>
        <v>0</v>
      </c>
      <c r="J117" s="22">
        <f t="shared" si="1"/>
        <v>0</v>
      </c>
      <c r="K117" s="23" t="str">
        <f t="shared" si="2"/>
        <v>GGG</v>
      </c>
    </row>
    <row r="118" ht="30.0" customHeight="1">
      <c r="A118" s="24">
        <v>116.0</v>
      </c>
      <c r="B118" s="24" t="s">
        <v>954</v>
      </c>
      <c r="C118" s="25" t="s">
        <v>955</v>
      </c>
      <c r="D118" s="24" t="s">
        <v>370</v>
      </c>
      <c r="E118" s="24" t="s">
        <v>18</v>
      </c>
      <c r="F118" s="24" t="s">
        <v>11</v>
      </c>
      <c r="G118" s="26">
        <f>IFERROR(VLOOKUP($B118, MARKAH_TKRS_KAWAD!$B:$BD, 54, FALSE)/95, 0)</f>
        <v>0</v>
      </c>
      <c r="H118" s="26">
        <f>IFERROR(VLOOKUP($B118, MARKAH_TKRS_BANTU_MULA!$B:$L, 11, FALSE)/20, 0)</f>
        <v>0</v>
      </c>
      <c r="I118" s="26">
        <f>IFERROR(VLOOKUP($B118, MARKAH_TKRS_IKATAN!$B:$N, 12, FALSE)/25, 0)</f>
        <v>0</v>
      </c>
      <c r="J118" s="26">
        <f t="shared" si="1"/>
        <v>0</v>
      </c>
      <c r="K118" s="27" t="str">
        <f t="shared" si="2"/>
        <v>GGG</v>
      </c>
    </row>
    <row r="119" ht="30.0" customHeight="1">
      <c r="A119" s="20">
        <v>117.0</v>
      </c>
      <c r="B119" s="20" t="s">
        <v>956</v>
      </c>
      <c r="C119" s="21" t="s">
        <v>957</v>
      </c>
      <c r="D119" s="20" t="s">
        <v>799</v>
      </c>
      <c r="E119" s="20" t="s">
        <v>18</v>
      </c>
      <c r="F119" s="20" t="s">
        <v>11</v>
      </c>
      <c r="G119" s="22">
        <f>IFERROR(VLOOKUP($B119, MARKAH_TKRS_KAWAD!$B:$BD, 54, FALSE)/95, 0)</f>
        <v>0</v>
      </c>
      <c r="H119" s="22">
        <f>IFERROR(VLOOKUP($B119, MARKAH_TKRS_BANTU_MULA!$B:$L, 11, FALSE)/20, 0)</f>
        <v>0</v>
      </c>
      <c r="I119" s="22">
        <f>IFERROR(VLOOKUP($B119, MARKAH_TKRS_IKATAN!$B:$N, 12, FALSE)/25, 0)</f>
        <v>0</v>
      </c>
      <c r="J119" s="22">
        <f t="shared" si="1"/>
        <v>0</v>
      </c>
      <c r="K119" s="23" t="str">
        <f t="shared" si="2"/>
        <v>GGG</v>
      </c>
    </row>
    <row r="120" ht="30.0" customHeight="1">
      <c r="A120" s="24">
        <v>118.0</v>
      </c>
      <c r="B120" s="24" t="s">
        <v>958</v>
      </c>
      <c r="C120" s="25" t="s">
        <v>959</v>
      </c>
      <c r="D120" s="24" t="s">
        <v>808</v>
      </c>
      <c r="E120" s="24" t="s">
        <v>18</v>
      </c>
      <c r="F120" s="24" t="s">
        <v>11</v>
      </c>
      <c r="G120" s="26">
        <f>IFERROR(VLOOKUP($B120, MARKAH_TKRS_KAWAD!$B:$BD, 54, FALSE)/95, 0)</f>
        <v>0</v>
      </c>
      <c r="H120" s="26">
        <f>IFERROR(VLOOKUP($B120, MARKAH_TKRS_BANTU_MULA!$B:$L, 11, FALSE)/20, 0)</f>
        <v>0</v>
      </c>
      <c r="I120" s="26">
        <f>IFERROR(VLOOKUP($B120, MARKAH_TKRS_IKATAN!$B:$N, 12, FALSE)/25, 0)</f>
        <v>0</v>
      </c>
      <c r="J120" s="26">
        <f t="shared" si="1"/>
        <v>0</v>
      </c>
      <c r="K120" s="27" t="str">
        <f t="shared" si="2"/>
        <v>GGG</v>
      </c>
    </row>
    <row r="121" ht="30.0" customHeight="1">
      <c r="A121" s="20">
        <v>119.0</v>
      </c>
      <c r="B121" s="20" t="s">
        <v>960</v>
      </c>
      <c r="C121" s="21" t="s">
        <v>961</v>
      </c>
      <c r="D121" s="20" t="s">
        <v>808</v>
      </c>
      <c r="E121" s="20" t="s">
        <v>18</v>
      </c>
      <c r="F121" s="20" t="s">
        <v>11</v>
      </c>
      <c r="G121" s="22">
        <f>IFERROR(VLOOKUP($B121, MARKAH_TKRS_KAWAD!$B:$BD, 54, FALSE)/95, 0)</f>
        <v>0</v>
      </c>
      <c r="H121" s="22">
        <f>IFERROR(VLOOKUP($B121, MARKAH_TKRS_BANTU_MULA!$B:$L, 11, FALSE)/20, 0)</f>
        <v>0</v>
      </c>
      <c r="I121" s="22">
        <f>IFERROR(VLOOKUP($B121, MARKAH_TKRS_IKATAN!$B:$N, 12, FALSE)/25, 0)</f>
        <v>0</v>
      </c>
      <c r="J121" s="22">
        <f t="shared" si="1"/>
        <v>0</v>
      </c>
      <c r="K121" s="23" t="str">
        <f t="shared" si="2"/>
        <v>GGG</v>
      </c>
    </row>
    <row r="122" ht="30.0" customHeight="1">
      <c r="A122" s="24">
        <v>120.0</v>
      </c>
      <c r="B122" s="24" t="s">
        <v>962</v>
      </c>
      <c r="C122" s="25" t="s">
        <v>963</v>
      </c>
      <c r="D122" s="24" t="s">
        <v>667</v>
      </c>
      <c r="E122" s="24" t="s">
        <v>18</v>
      </c>
      <c r="F122" s="24" t="s">
        <v>38</v>
      </c>
      <c r="G122" s="26">
        <f>IFERROR(VLOOKUP($B122, MARKAH_TKRS_KAWAD!$B:$BD, 54, FALSE)/95, 0)</f>
        <v>0</v>
      </c>
      <c r="H122" s="26">
        <f>IFERROR(VLOOKUP($B122, MARKAH_TKRS_BANTU_MULA!$B:$L, 11, FALSE)/20, 0)</f>
        <v>0</v>
      </c>
      <c r="I122" s="26">
        <f>IFERROR(VLOOKUP($B122, MARKAH_TKRS_IKATAN!$B:$N, 12, FALSE)/25, 0)</f>
        <v>0</v>
      </c>
      <c r="J122" s="26">
        <f t="shared" si="1"/>
        <v>0</v>
      </c>
      <c r="K122" s="27" t="str">
        <f t="shared" si="2"/>
        <v>GGG</v>
      </c>
    </row>
    <row r="123" ht="30.0" customHeight="1">
      <c r="A123" s="20">
        <v>121.0</v>
      </c>
      <c r="B123" s="20" t="s">
        <v>964</v>
      </c>
      <c r="C123" s="21" t="s">
        <v>965</v>
      </c>
      <c r="D123" s="20" t="s">
        <v>817</v>
      </c>
      <c r="E123" s="20" t="s">
        <v>18</v>
      </c>
      <c r="F123" s="20" t="s">
        <v>38</v>
      </c>
      <c r="G123" s="22">
        <f>IFERROR(VLOOKUP($B123, MARKAH_TKRS_KAWAD!$B:$BD, 54, FALSE)/95, 0)</f>
        <v>0</v>
      </c>
      <c r="H123" s="22">
        <f>IFERROR(VLOOKUP($B123, MARKAH_TKRS_BANTU_MULA!$B:$L, 11, FALSE)/20, 0)</f>
        <v>0</v>
      </c>
      <c r="I123" s="22">
        <f>IFERROR(VLOOKUP($B123, MARKAH_TKRS_IKATAN!$B:$N, 12, FALSE)/25, 0)</f>
        <v>0</v>
      </c>
      <c r="J123" s="22">
        <f t="shared" si="1"/>
        <v>0</v>
      </c>
      <c r="K123" s="23" t="str">
        <f t="shared" si="2"/>
        <v>GGG</v>
      </c>
    </row>
    <row r="124" ht="30.0" customHeight="1">
      <c r="A124" s="24">
        <v>122.0</v>
      </c>
      <c r="B124" s="24" t="s">
        <v>966</v>
      </c>
      <c r="C124" s="25" t="s">
        <v>967</v>
      </c>
      <c r="D124" s="24" t="s">
        <v>733</v>
      </c>
      <c r="E124" s="24" t="s">
        <v>18</v>
      </c>
      <c r="F124" s="24" t="s">
        <v>38</v>
      </c>
      <c r="G124" s="26">
        <f>IFERROR(VLOOKUP($B124, MARKAH_TKRS_KAWAD!$B:$BD, 54, FALSE)/95, 0)</f>
        <v>0</v>
      </c>
      <c r="H124" s="26">
        <f>IFERROR(VLOOKUP($B124, MARKAH_TKRS_BANTU_MULA!$B:$L, 11, FALSE)/20, 0)</f>
        <v>0</v>
      </c>
      <c r="I124" s="26">
        <f>IFERROR(VLOOKUP($B124, MARKAH_TKRS_IKATAN!$B:$N, 12, FALSE)/25, 0)</f>
        <v>0</v>
      </c>
      <c r="J124" s="26">
        <f t="shared" si="1"/>
        <v>0</v>
      </c>
      <c r="K124" s="27" t="str">
        <f t="shared" si="2"/>
        <v>GGG</v>
      </c>
    </row>
    <row r="125" ht="30.0" customHeight="1">
      <c r="A125" s="20">
        <v>123.0</v>
      </c>
      <c r="B125" s="20" t="s">
        <v>968</v>
      </c>
      <c r="C125" s="21" t="s">
        <v>969</v>
      </c>
      <c r="D125" s="20" t="s">
        <v>925</v>
      </c>
      <c r="E125" s="20" t="s">
        <v>18</v>
      </c>
      <c r="F125" s="20" t="s">
        <v>38</v>
      </c>
      <c r="G125" s="22">
        <f>IFERROR(VLOOKUP($B125, MARKAH_TKRS_KAWAD!$B:$BD, 54, FALSE)/95, 0)</f>
        <v>0</v>
      </c>
      <c r="H125" s="22">
        <f>IFERROR(VLOOKUP($B125, MARKAH_TKRS_BANTU_MULA!$B:$L, 11, FALSE)/20, 0)</f>
        <v>0</v>
      </c>
      <c r="I125" s="22">
        <f>IFERROR(VLOOKUP($B125, MARKAH_TKRS_IKATAN!$B:$N, 12, FALSE)/25, 0)</f>
        <v>0</v>
      </c>
      <c r="J125" s="22">
        <f t="shared" si="1"/>
        <v>0</v>
      </c>
      <c r="K125" s="23" t="str">
        <f t="shared" si="2"/>
        <v>GGG</v>
      </c>
    </row>
    <row r="126" ht="30.0" customHeight="1">
      <c r="A126" s="24">
        <v>124.0</v>
      </c>
      <c r="B126" s="24" t="s">
        <v>970</v>
      </c>
      <c r="C126" s="25" t="s">
        <v>971</v>
      </c>
      <c r="D126" s="24" t="s">
        <v>929</v>
      </c>
      <c r="E126" s="24" t="s">
        <v>18</v>
      </c>
      <c r="F126" s="24" t="s">
        <v>11</v>
      </c>
      <c r="G126" s="26">
        <f>IFERROR(VLOOKUP($B126, MARKAH_TKRS_KAWAD!$B:$BD, 54, FALSE)/95, 0)</f>
        <v>0</v>
      </c>
      <c r="H126" s="26">
        <f>IFERROR(VLOOKUP($B126, MARKAH_TKRS_BANTU_MULA!$B:$L, 11, FALSE)/20, 0)</f>
        <v>0</v>
      </c>
      <c r="I126" s="26">
        <f>IFERROR(VLOOKUP($B126, MARKAH_TKRS_IKATAN!$B:$N, 12, FALSE)/25, 0)</f>
        <v>0</v>
      </c>
      <c r="J126" s="26">
        <f t="shared" si="1"/>
        <v>0</v>
      </c>
      <c r="K126" s="27" t="str">
        <f t="shared" si="2"/>
        <v>GGG</v>
      </c>
    </row>
    <row r="127" ht="30.0" customHeight="1">
      <c r="A127" s="20">
        <v>125.0</v>
      </c>
      <c r="B127" s="20" t="s">
        <v>972</v>
      </c>
      <c r="C127" s="21" t="s">
        <v>973</v>
      </c>
      <c r="D127" s="20" t="s">
        <v>739</v>
      </c>
      <c r="E127" s="20" t="s">
        <v>18</v>
      </c>
      <c r="F127" s="20" t="s">
        <v>11</v>
      </c>
      <c r="G127" s="22">
        <f>IFERROR(VLOOKUP($B127, MARKAH_TKRS_KAWAD!$B:$BD, 54, FALSE)/95, 0)</f>
        <v>0</v>
      </c>
      <c r="H127" s="22">
        <f>IFERROR(VLOOKUP($B127, MARKAH_TKRS_BANTU_MULA!$B:$L, 11, FALSE)/20, 0)</f>
        <v>0</v>
      </c>
      <c r="I127" s="22">
        <f>IFERROR(VLOOKUP($B127, MARKAH_TKRS_IKATAN!$B:$N, 12, FALSE)/25, 0)</f>
        <v>0</v>
      </c>
      <c r="J127" s="22">
        <f t="shared" si="1"/>
        <v>0</v>
      </c>
      <c r="K127" s="23" t="str">
        <f t="shared" si="2"/>
        <v>GGG</v>
      </c>
    </row>
    <row r="128" ht="30.0" customHeight="1">
      <c r="A128" s="24">
        <v>126.0</v>
      </c>
      <c r="B128" s="24" t="s">
        <v>974</v>
      </c>
      <c r="C128" s="25" t="s">
        <v>975</v>
      </c>
      <c r="D128" s="24" t="s">
        <v>745</v>
      </c>
      <c r="E128" s="24" t="s">
        <v>18</v>
      </c>
      <c r="F128" s="24" t="s">
        <v>11</v>
      </c>
      <c r="G128" s="26">
        <f>IFERROR(VLOOKUP($B128, MARKAH_TKRS_KAWAD!$B:$BD, 54, FALSE)/95, 0)</f>
        <v>0</v>
      </c>
      <c r="H128" s="26">
        <f>IFERROR(VLOOKUP($B128, MARKAH_TKRS_BANTU_MULA!$B:$L, 11, FALSE)/20, 0)</f>
        <v>0</v>
      </c>
      <c r="I128" s="26">
        <f>IFERROR(VLOOKUP($B128, MARKAH_TKRS_IKATAN!$B:$N, 12, FALSE)/25, 0)</f>
        <v>0</v>
      </c>
      <c r="J128" s="26">
        <f t="shared" si="1"/>
        <v>0</v>
      </c>
      <c r="K128" s="27" t="str">
        <f t="shared" si="2"/>
        <v>GGG</v>
      </c>
    </row>
    <row r="129" ht="30.0" customHeight="1">
      <c r="A129" s="20">
        <v>127.0</v>
      </c>
      <c r="B129" s="20" t="s">
        <v>976</v>
      </c>
      <c r="C129" s="21" t="s">
        <v>977</v>
      </c>
      <c r="D129" s="20" t="s">
        <v>748</v>
      </c>
      <c r="E129" s="20" t="s">
        <v>18</v>
      </c>
      <c r="F129" s="20" t="s">
        <v>11</v>
      </c>
      <c r="G129" s="22">
        <f>IFERROR(VLOOKUP($B129, MARKAH_TKRS_KAWAD!$B:$BD, 54, FALSE)/95, 0)</f>
        <v>0</v>
      </c>
      <c r="H129" s="22">
        <f>IFERROR(VLOOKUP($B129, MARKAH_TKRS_BANTU_MULA!$B:$L, 11, FALSE)/20, 0)</f>
        <v>0</v>
      </c>
      <c r="I129" s="22">
        <f>IFERROR(VLOOKUP($B129, MARKAH_TKRS_IKATAN!$B:$N, 12, FALSE)/25, 0)</f>
        <v>0</v>
      </c>
      <c r="J129" s="22">
        <f t="shared" si="1"/>
        <v>0</v>
      </c>
      <c r="K129" s="23" t="str">
        <f t="shared" si="2"/>
        <v>GGG</v>
      </c>
    </row>
    <row r="130" ht="30.0" customHeight="1">
      <c r="A130" s="24">
        <v>128.0</v>
      </c>
      <c r="B130" s="24" t="s">
        <v>978</v>
      </c>
      <c r="C130" s="25" t="s">
        <v>979</v>
      </c>
      <c r="D130" s="24" t="s">
        <v>347</v>
      </c>
      <c r="E130" s="24" t="s">
        <v>18</v>
      </c>
      <c r="F130" s="24" t="s">
        <v>11</v>
      </c>
      <c r="G130" s="26">
        <f>IFERROR(VLOOKUP($B130, MARKAH_TKRS_KAWAD!$B:$BD, 54, FALSE)/95, 0)</f>
        <v>0</v>
      </c>
      <c r="H130" s="26">
        <f>IFERROR(VLOOKUP($B130, MARKAH_TKRS_BANTU_MULA!$B:$L, 11, FALSE)/20, 0)</f>
        <v>0</v>
      </c>
      <c r="I130" s="26">
        <f>IFERROR(VLOOKUP($B130, MARKAH_TKRS_IKATAN!$B:$N, 12, FALSE)/25, 0)</f>
        <v>0</v>
      </c>
      <c r="J130" s="26">
        <f t="shared" si="1"/>
        <v>0</v>
      </c>
      <c r="K130" s="27" t="str">
        <f t="shared" si="2"/>
        <v>GGG</v>
      </c>
    </row>
    <row r="131" ht="30.0" customHeight="1">
      <c r="A131" s="20">
        <v>129.0</v>
      </c>
      <c r="B131" s="20" t="s">
        <v>980</v>
      </c>
      <c r="C131" s="21" t="s">
        <v>981</v>
      </c>
      <c r="D131" s="20" t="s">
        <v>366</v>
      </c>
      <c r="E131" s="20" t="s">
        <v>18</v>
      </c>
      <c r="F131" s="20" t="s">
        <v>11</v>
      </c>
      <c r="G131" s="22">
        <f>IFERROR(VLOOKUP($B131, MARKAH_TKRS_KAWAD!$B:$BD, 54, FALSE)/95, 0)</f>
        <v>0</v>
      </c>
      <c r="H131" s="22">
        <f>IFERROR(VLOOKUP($B131, MARKAH_TKRS_BANTU_MULA!$B:$L, 11, FALSE)/20, 0)</f>
        <v>0</v>
      </c>
      <c r="I131" s="22">
        <f>IFERROR(VLOOKUP($B131, MARKAH_TKRS_IKATAN!$B:$N, 12, FALSE)/25, 0)</f>
        <v>0</v>
      </c>
      <c r="J131" s="22">
        <f t="shared" si="1"/>
        <v>0</v>
      </c>
      <c r="K131" s="23" t="str">
        <f t="shared" si="2"/>
        <v>GGG</v>
      </c>
    </row>
    <row r="132" ht="30.0" customHeight="1">
      <c r="A132" s="24">
        <v>130.0</v>
      </c>
      <c r="B132" s="24" t="s">
        <v>982</v>
      </c>
      <c r="C132" s="25" t="s">
        <v>983</v>
      </c>
      <c r="D132" s="24" t="s">
        <v>366</v>
      </c>
      <c r="E132" s="24" t="s">
        <v>18</v>
      </c>
      <c r="F132" s="24" t="s">
        <v>11</v>
      </c>
      <c r="G132" s="26">
        <f>IFERROR(VLOOKUP($B132, MARKAH_TKRS_KAWAD!$B:$BD, 54, FALSE)/95, 0)</f>
        <v>0</v>
      </c>
      <c r="H132" s="26">
        <f>IFERROR(VLOOKUP($B132, MARKAH_TKRS_BANTU_MULA!$B:$L, 11, FALSE)/20, 0)</f>
        <v>0</v>
      </c>
      <c r="I132" s="26">
        <f>IFERROR(VLOOKUP($B132, MARKAH_TKRS_IKATAN!$B:$N, 12, FALSE)/25, 0)</f>
        <v>0</v>
      </c>
      <c r="J132" s="26">
        <f t="shared" si="1"/>
        <v>0</v>
      </c>
      <c r="K132" s="27" t="str">
        <f t="shared" si="2"/>
        <v>GGG</v>
      </c>
    </row>
    <row r="133" ht="30.0" customHeight="1">
      <c r="A133" s="20">
        <v>131.0</v>
      </c>
      <c r="B133" s="20" t="s">
        <v>984</v>
      </c>
      <c r="C133" s="21" t="s">
        <v>985</v>
      </c>
      <c r="D133" s="20" t="s">
        <v>770</v>
      </c>
      <c r="E133" s="20" t="s">
        <v>18</v>
      </c>
      <c r="F133" s="20" t="s">
        <v>11</v>
      </c>
      <c r="G133" s="22">
        <f>IFERROR(VLOOKUP($B133, MARKAH_TKRS_KAWAD!$B:$BD, 54, FALSE)/95, 0)</f>
        <v>0</v>
      </c>
      <c r="H133" s="22">
        <f>IFERROR(VLOOKUP($B133, MARKAH_TKRS_BANTU_MULA!$B:$L, 11, FALSE)/20, 0)</f>
        <v>0</v>
      </c>
      <c r="I133" s="22">
        <f>IFERROR(VLOOKUP($B133, MARKAH_TKRS_IKATAN!$B:$N, 12, FALSE)/25, 0)</f>
        <v>0</v>
      </c>
      <c r="J133" s="22">
        <f t="shared" si="1"/>
        <v>0</v>
      </c>
      <c r="K133" s="23" t="str">
        <f t="shared" si="2"/>
        <v>GGG</v>
      </c>
    </row>
    <row r="134" ht="30.0" customHeight="1">
      <c r="A134" s="24">
        <v>132.0</v>
      </c>
      <c r="B134" s="24" t="s">
        <v>986</v>
      </c>
      <c r="C134" s="25" t="s">
        <v>987</v>
      </c>
      <c r="D134" s="24" t="s">
        <v>773</v>
      </c>
      <c r="E134" s="24" t="s">
        <v>18</v>
      </c>
      <c r="F134" s="24" t="s">
        <v>38</v>
      </c>
      <c r="G134" s="26">
        <f>IFERROR(VLOOKUP($B134, MARKAH_TKRS_KAWAD!$B:$BD, 54, FALSE)/95, 0)</f>
        <v>0</v>
      </c>
      <c r="H134" s="26">
        <f>IFERROR(VLOOKUP($B134, MARKAH_TKRS_BANTU_MULA!$B:$L, 11, FALSE)/20, 0)</f>
        <v>0</v>
      </c>
      <c r="I134" s="26">
        <f>IFERROR(VLOOKUP($B134, MARKAH_TKRS_IKATAN!$B:$N, 12, FALSE)/25, 0)</f>
        <v>0</v>
      </c>
      <c r="J134" s="26">
        <f t="shared" si="1"/>
        <v>0</v>
      </c>
      <c r="K134" s="27" t="str">
        <f t="shared" si="2"/>
        <v>GGG</v>
      </c>
    </row>
    <row r="135" ht="30.0" customHeight="1">
      <c r="A135" s="20">
        <v>133.0</v>
      </c>
      <c r="B135" s="20" t="s">
        <v>988</v>
      </c>
      <c r="C135" s="21" t="s">
        <v>989</v>
      </c>
      <c r="D135" s="20" t="s">
        <v>318</v>
      </c>
      <c r="E135" s="20" t="s">
        <v>18</v>
      </c>
      <c r="F135" s="20" t="s">
        <v>11</v>
      </c>
      <c r="G135" s="22">
        <f>IFERROR(VLOOKUP($B135, MARKAH_TKRS_KAWAD!$B:$BD, 54, FALSE)/95, 0)</f>
        <v>0</v>
      </c>
      <c r="H135" s="22">
        <f>IFERROR(VLOOKUP($B135, MARKAH_TKRS_BANTU_MULA!$B:$L, 11, FALSE)/20, 0)</f>
        <v>0</v>
      </c>
      <c r="I135" s="22">
        <f>IFERROR(VLOOKUP($B135, MARKAH_TKRS_IKATAN!$B:$N, 12, FALSE)/25, 0)</f>
        <v>0</v>
      </c>
      <c r="J135" s="22">
        <f t="shared" si="1"/>
        <v>0</v>
      </c>
      <c r="K135" s="23" t="str">
        <f t="shared" si="2"/>
        <v>GGG</v>
      </c>
    </row>
    <row r="136" ht="30.0" customHeight="1">
      <c r="A136" s="24">
        <v>134.0</v>
      </c>
      <c r="B136" s="24" t="s">
        <v>990</v>
      </c>
      <c r="C136" s="25" t="s">
        <v>991</v>
      </c>
      <c r="D136" s="24" t="s">
        <v>359</v>
      </c>
      <c r="E136" s="24" t="s">
        <v>18</v>
      </c>
      <c r="F136" s="24" t="s">
        <v>11</v>
      </c>
      <c r="G136" s="26">
        <f>IFERROR(VLOOKUP($B136, MARKAH_TKRS_KAWAD!$B:$BD, 54, FALSE)/95, 0)</f>
        <v>0</v>
      </c>
      <c r="H136" s="26">
        <f>IFERROR(VLOOKUP($B136, MARKAH_TKRS_BANTU_MULA!$B:$L, 11, FALSE)/20, 0)</f>
        <v>0</v>
      </c>
      <c r="I136" s="26">
        <f>IFERROR(VLOOKUP($B136, MARKAH_TKRS_IKATAN!$B:$N, 12, FALSE)/25, 0)</f>
        <v>0</v>
      </c>
      <c r="J136" s="26">
        <f t="shared" si="1"/>
        <v>0</v>
      </c>
      <c r="K136" s="27" t="str">
        <f t="shared" si="2"/>
        <v>GGG</v>
      </c>
    </row>
    <row r="137" ht="30.0" customHeight="1">
      <c r="A137" s="20">
        <v>135.0</v>
      </c>
      <c r="B137" s="20" t="s">
        <v>992</v>
      </c>
      <c r="C137" s="21" t="s">
        <v>993</v>
      </c>
      <c r="D137" s="20" t="s">
        <v>373</v>
      </c>
      <c r="E137" s="20" t="s">
        <v>18</v>
      </c>
      <c r="F137" s="20" t="s">
        <v>11</v>
      </c>
      <c r="G137" s="22">
        <f>IFERROR(VLOOKUP($B137, MARKAH_TKRS_KAWAD!$B:$BD, 54, FALSE)/95, 0)</f>
        <v>0</v>
      </c>
      <c r="H137" s="22">
        <f>IFERROR(VLOOKUP($B137, MARKAH_TKRS_BANTU_MULA!$B:$L, 11, FALSE)/20, 0)</f>
        <v>0</v>
      </c>
      <c r="I137" s="22">
        <f>IFERROR(VLOOKUP($B137, MARKAH_TKRS_IKATAN!$B:$N, 12, FALSE)/25, 0)</f>
        <v>0</v>
      </c>
      <c r="J137" s="22">
        <f t="shared" si="1"/>
        <v>0</v>
      </c>
      <c r="K137" s="23" t="str">
        <f t="shared" si="2"/>
        <v>GGG</v>
      </c>
    </row>
    <row r="138" ht="30.0" customHeight="1">
      <c r="A138" s="24">
        <v>136.0</v>
      </c>
      <c r="B138" s="24" t="s">
        <v>994</v>
      </c>
      <c r="C138" s="25" t="s">
        <v>995</v>
      </c>
      <c r="D138" s="24" t="s">
        <v>396</v>
      </c>
      <c r="E138" s="24" t="s">
        <v>18</v>
      </c>
      <c r="F138" s="24" t="s">
        <v>11</v>
      </c>
      <c r="G138" s="26">
        <f>IFERROR(VLOOKUP($B138, MARKAH_TKRS_KAWAD!$B:$BD, 54, FALSE)/95, 0)</f>
        <v>0</v>
      </c>
      <c r="H138" s="26">
        <f>IFERROR(VLOOKUP($B138, MARKAH_TKRS_BANTU_MULA!$B:$L, 11, FALSE)/20, 0)</f>
        <v>0</v>
      </c>
      <c r="I138" s="26">
        <f>IFERROR(VLOOKUP($B138, MARKAH_TKRS_IKATAN!$B:$N, 12, FALSE)/25, 0)</f>
        <v>0</v>
      </c>
      <c r="J138" s="26">
        <f t="shared" si="1"/>
        <v>0</v>
      </c>
      <c r="K138" s="27" t="str">
        <f t="shared" si="2"/>
        <v>GGG</v>
      </c>
    </row>
    <row r="139" ht="30.0" customHeight="1">
      <c r="A139" s="20">
        <v>137.0</v>
      </c>
      <c r="B139" s="20" t="s">
        <v>996</v>
      </c>
      <c r="C139" s="21" t="s">
        <v>997</v>
      </c>
      <c r="D139" s="20" t="s">
        <v>796</v>
      </c>
      <c r="E139" s="20" t="s">
        <v>18</v>
      </c>
      <c r="F139" s="20" t="s">
        <v>11</v>
      </c>
      <c r="G139" s="22">
        <f>IFERROR(VLOOKUP($B139, MARKAH_TKRS_KAWAD!$B:$BD, 54, FALSE)/95, 0)</f>
        <v>0</v>
      </c>
      <c r="H139" s="22">
        <f>IFERROR(VLOOKUP($B139, MARKAH_TKRS_BANTU_MULA!$B:$L, 11, FALSE)/20, 0)</f>
        <v>0</v>
      </c>
      <c r="I139" s="22">
        <f>IFERROR(VLOOKUP($B139, MARKAH_TKRS_IKATAN!$B:$N, 12, FALSE)/25, 0)</f>
        <v>0</v>
      </c>
      <c r="J139" s="22">
        <f t="shared" si="1"/>
        <v>0</v>
      </c>
      <c r="K139" s="23" t="str">
        <f t="shared" si="2"/>
        <v>GGG</v>
      </c>
    </row>
    <row r="140" ht="30.0" customHeight="1">
      <c r="A140" s="24">
        <v>138.0</v>
      </c>
      <c r="B140" s="24" t="s">
        <v>998</v>
      </c>
      <c r="C140" s="25" t="s">
        <v>999</v>
      </c>
      <c r="D140" s="24" t="s">
        <v>799</v>
      </c>
      <c r="E140" s="24" t="s">
        <v>18</v>
      </c>
      <c r="F140" s="24" t="s">
        <v>11</v>
      </c>
      <c r="G140" s="26">
        <f>IFERROR(VLOOKUP($B140, MARKAH_TKRS_KAWAD!$B:$BD, 54, FALSE)/95, 0)</f>
        <v>0</v>
      </c>
      <c r="H140" s="26">
        <f>IFERROR(VLOOKUP($B140, MARKAH_TKRS_BANTU_MULA!$B:$L, 11, FALSE)/20, 0)</f>
        <v>0</v>
      </c>
      <c r="I140" s="26">
        <f>IFERROR(VLOOKUP($B140, MARKAH_TKRS_IKATAN!$B:$N, 12, FALSE)/25, 0)</f>
        <v>0</v>
      </c>
      <c r="J140" s="26">
        <f t="shared" si="1"/>
        <v>0</v>
      </c>
      <c r="K140" s="27" t="str">
        <f t="shared" si="2"/>
        <v>GGG</v>
      </c>
    </row>
    <row r="141" ht="30.0" customHeight="1">
      <c r="A141" s="20">
        <v>139.0</v>
      </c>
      <c r="B141" s="20" t="s">
        <v>1000</v>
      </c>
      <c r="C141" s="21" t="s">
        <v>1001</v>
      </c>
      <c r="D141" s="20" t="s">
        <v>808</v>
      </c>
      <c r="E141" s="20" t="s">
        <v>18</v>
      </c>
      <c r="F141" s="20" t="s">
        <v>11</v>
      </c>
      <c r="G141" s="22">
        <f>IFERROR(VLOOKUP($B141, MARKAH_TKRS_KAWAD!$B:$BD, 54, FALSE)/95, 0)</f>
        <v>0</v>
      </c>
      <c r="H141" s="22">
        <f>IFERROR(VLOOKUP($B141, MARKAH_TKRS_BANTU_MULA!$B:$L, 11, FALSE)/20, 0)</f>
        <v>0</v>
      </c>
      <c r="I141" s="22">
        <f>IFERROR(VLOOKUP($B141, MARKAH_TKRS_IKATAN!$B:$N, 12, FALSE)/25, 0)</f>
        <v>0</v>
      </c>
      <c r="J141" s="22">
        <f t="shared" si="1"/>
        <v>0</v>
      </c>
      <c r="K141" s="23" t="str">
        <f t="shared" si="2"/>
        <v>GGG</v>
      </c>
    </row>
    <row r="142" ht="30.0" customHeight="1">
      <c r="A142" s="24">
        <v>140.0</v>
      </c>
      <c r="B142" s="24" t="s">
        <v>1002</v>
      </c>
      <c r="C142" s="25" t="s">
        <v>1003</v>
      </c>
      <c r="D142" s="24" t="s">
        <v>808</v>
      </c>
      <c r="E142" s="24" t="s">
        <v>18</v>
      </c>
      <c r="F142" s="24" t="s">
        <v>11</v>
      </c>
      <c r="G142" s="26">
        <f>IFERROR(VLOOKUP($B142, MARKAH_TKRS_KAWAD!$B:$BD, 54, FALSE)/95, 0)</f>
        <v>0</v>
      </c>
      <c r="H142" s="26">
        <f>IFERROR(VLOOKUP($B142, MARKAH_TKRS_BANTU_MULA!$B:$L, 11, FALSE)/20, 0)</f>
        <v>0</v>
      </c>
      <c r="I142" s="26">
        <f>IFERROR(VLOOKUP($B142, MARKAH_TKRS_IKATAN!$B:$N, 12, FALSE)/25, 0)</f>
        <v>0</v>
      </c>
      <c r="J142" s="26">
        <f t="shared" si="1"/>
        <v>0</v>
      </c>
      <c r="K142" s="27" t="str">
        <f t="shared" si="2"/>
        <v>GGG</v>
      </c>
    </row>
    <row r="143" ht="30.0" customHeight="1">
      <c r="A143" s="20">
        <v>141.0</v>
      </c>
      <c r="B143" s="20" t="s">
        <v>1004</v>
      </c>
      <c r="C143" s="21" t="s">
        <v>1005</v>
      </c>
      <c r="D143" s="20" t="s">
        <v>715</v>
      </c>
      <c r="E143" s="20" t="s">
        <v>18</v>
      </c>
      <c r="F143" s="20" t="s">
        <v>38</v>
      </c>
      <c r="G143" s="22">
        <f>IFERROR(VLOOKUP($B143, MARKAH_TKRS_KAWAD!$B:$BD, 54, FALSE)/95, 0)</f>
        <v>0</v>
      </c>
      <c r="H143" s="22">
        <f>IFERROR(VLOOKUP($B143, MARKAH_TKRS_BANTU_MULA!$B:$L, 11, FALSE)/20, 0)</f>
        <v>0</v>
      </c>
      <c r="I143" s="22">
        <f>IFERROR(VLOOKUP($B143, MARKAH_TKRS_IKATAN!$B:$N, 12, FALSE)/25, 0)</f>
        <v>0</v>
      </c>
      <c r="J143" s="22">
        <f t="shared" si="1"/>
        <v>0</v>
      </c>
      <c r="K143" s="23" t="str">
        <f t="shared" si="2"/>
        <v>GGG</v>
      </c>
    </row>
    <row r="144" ht="30.0" customHeight="1">
      <c r="A144" s="24">
        <v>142.0</v>
      </c>
      <c r="B144" s="24" t="s">
        <v>1006</v>
      </c>
      <c r="C144" s="25" t="s">
        <v>1007</v>
      </c>
      <c r="D144" s="24" t="s">
        <v>817</v>
      </c>
      <c r="E144" s="24" t="s">
        <v>18</v>
      </c>
      <c r="F144" s="24" t="s">
        <v>38</v>
      </c>
      <c r="G144" s="26">
        <f>IFERROR(VLOOKUP($B144, MARKAH_TKRS_KAWAD!$B:$BD, 54, FALSE)/95, 0)</f>
        <v>0</v>
      </c>
      <c r="H144" s="26">
        <f>IFERROR(VLOOKUP($B144, MARKAH_TKRS_BANTU_MULA!$B:$L, 11, FALSE)/20, 0)</f>
        <v>0</v>
      </c>
      <c r="I144" s="26">
        <f>IFERROR(VLOOKUP($B144, MARKAH_TKRS_IKATAN!$B:$N, 12, FALSE)/25, 0)</f>
        <v>0</v>
      </c>
      <c r="J144" s="26">
        <f t="shared" si="1"/>
        <v>0</v>
      </c>
      <c r="K144" s="27" t="str">
        <f t="shared" si="2"/>
        <v>GGG</v>
      </c>
    </row>
    <row r="145" ht="30.0" customHeight="1">
      <c r="A145" s="20">
        <v>143.0</v>
      </c>
      <c r="B145" s="20" t="s">
        <v>1008</v>
      </c>
      <c r="C145" s="21" t="s">
        <v>1009</v>
      </c>
      <c r="D145" s="20" t="s">
        <v>925</v>
      </c>
      <c r="E145" s="20" t="s">
        <v>18</v>
      </c>
      <c r="F145" s="20" t="s">
        <v>11</v>
      </c>
      <c r="G145" s="22">
        <f>IFERROR(VLOOKUP($B145, MARKAH_TKRS_KAWAD!$B:$BD, 54, FALSE)/95, 0)</f>
        <v>0</v>
      </c>
      <c r="H145" s="22">
        <f>IFERROR(VLOOKUP($B145, MARKAH_TKRS_BANTU_MULA!$B:$L, 11, FALSE)/20, 0)</f>
        <v>0</v>
      </c>
      <c r="I145" s="22">
        <f>IFERROR(VLOOKUP($B145, MARKAH_TKRS_IKATAN!$B:$N, 12, FALSE)/25, 0)</f>
        <v>0</v>
      </c>
      <c r="J145" s="22">
        <f t="shared" si="1"/>
        <v>0</v>
      </c>
      <c r="K145" s="23" t="str">
        <f t="shared" si="2"/>
        <v>GGG</v>
      </c>
    </row>
    <row r="146" ht="30.0" customHeight="1">
      <c r="A146" s="24">
        <v>144.0</v>
      </c>
      <c r="B146" s="24" t="s">
        <v>1010</v>
      </c>
      <c r="C146" s="25" t="s">
        <v>1011</v>
      </c>
      <c r="D146" s="24" t="s">
        <v>925</v>
      </c>
      <c r="E146" s="24" t="s">
        <v>18</v>
      </c>
      <c r="F146" s="24" t="s">
        <v>11</v>
      </c>
      <c r="G146" s="26">
        <f>IFERROR(VLOOKUP($B146, MARKAH_TKRS_KAWAD!$B:$BD, 54, FALSE)/95, 0)</f>
        <v>0</v>
      </c>
      <c r="H146" s="26">
        <f>IFERROR(VLOOKUP($B146, MARKAH_TKRS_BANTU_MULA!$B:$L, 11, FALSE)/20, 0)</f>
        <v>0</v>
      </c>
      <c r="I146" s="26">
        <f>IFERROR(VLOOKUP($B146, MARKAH_TKRS_IKATAN!$B:$N, 12, FALSE)/25, 0)</f>
        <v>0</v>
      </c>
      <c r="J146" s="26">
        <f t="shared" si="1"/>
        <v>0</v>
      </c>
      <c r="K146" s="27" t="str">
        <f t="shared" si="2"/>
        <v>GGG</v>
      </c>
    </row>
    <row r="147" ht="30.0" customHeight="1">
      <c r="A147" s="20">
        <v>145.0</v>
      </c>
      <c r="B147" s="20" t="s">
        <v>1012</v>
      </c>
      <c r="C147" s="21" t="s">
        <v>1013</v>
      </c>
      <c r="D147" s="20" t="s">
        <v>929</v>
      </c>
      <c r="E147" s="20" t="s">
        <v>18</v>
      </c>
      <c r="F147" s="20" t="s">
        <v>11</v>
      </c>
      <c r="G147" s="22">
        <f>IFERROR(VLOOKUP($B147, MARKAH_TKRS_KAWAD!$B:$BD, 54, FALSE)/95, 0)</f>
        <v>0</v>
      </c>
      <c r="H147" s="22">
        <f>IFERROR(VLOOKUP($B147, MARKAH_TKRS_BANTU_MULA!$B:$L, 11, FALSE)/20, 0)</f>
        <v>0</v>
      </c>
      <c r="I147" s="22">
        <f>IFERROR(VLOOKUP($B147, MARKAH_TKRS_IKATAN!$B:$N, 12, FALSE)/25, 0)</f>
        <v>0</v>
      </c>
      <c r="J147" s="22">
        <f t="shared" si="1"/>
        <v>0</v>
      </c>
      <c r="K147" s="23" t="str">
        <f t="shared" si="2"/>
        <v>GGG</v>
      </c>
    </row>
    <row r="148" ht="30.0" customHeight="1">
      <c r="A148" s="24">
        <v>146.0</v>
      </c>
      <c r="B148" s="24" t="s">
        <v>1014</v>
      </c>
      <c r="C148" s="25" t="s">
        <v>1015</v>
      </c>
      <c r="D148" s="24" t="s">
        <v>739</v>
      </c>
      <c r="E148" s="24" t="s">
        <v>18</v>
      </c>
      <c r="F148" s="24" t="s">
        <v>11</v>
      </c>
      <c r="G148" s="26">
        <f>IFERROR(VLOOKUP($B148, MARKAH_TKRS_KAWAD!$B:$BD, 54, FALSE)/95, 0)</f>
        <v>0</v>
      </c>
      <c r="H148" s="26">
        <f>IFERROR(VLOOKUP($B148, MARKAH_TKRS_BANTU_MULA!$B:$L, 11, FALSE)/20, 0)</f>
        <v>0</v>
      </c>
      <c r="I148" s="26">
        <f>IFERROR(VLOOKUP($B148, MARKAH_TKRS_IKATAN!$B:$N, 12, FALSE)/25, 0)</f>
        <v>0</v>
      </c>
      <c r="J148" s="26">
        <f t="shared" si="1"/>
        <v>0</v>
      </c>
      <c r="K148" s="27" t="str">
        <f t="shared" si="2"/>
        <v>GGG</v>
      </c>
    </row>
    <row r="149" ht="30.0" customHeight="1">
      <c r="A149" s="20">
        <v>147.0</v>
      </c>
      <c r="B149" s="20" t="s">
        <v>1016</v>
      </c>
      <c r="C149" s="21" t="s">
        <v>1017</v>
      </c>
      <c r="D149" s="20" t="s">
        <v>411</v>
      </c>
      <c r="E149" s="20" t="s">
        <v>18</v>
      </c>
      <c r="F149" s="20" t="s">
        <v>11</v>
      </c>
      <c r="G149" s="22">
        <f>IFERROR(VLOOKUP($B149, MARKAH_TKRS_KAWAD!$B:$BD, 54, FALSE)/95, 0)</f>
        <v>0</v>
      </c>
      <c r="H149" s="22">
        <f>IFERROR(VLOOKUP($B149, MARKAH_TKRS_BANTU_MULA!$B:$L, 11, FALSE)/20, 0)</f>
        <v>0</v>
      </c>
      <c r="I149" s="22">
        <f>IFERROR(VLOOKUP($B149, MARKAH_TKRS_IKATAN!$B:$N, 12, FALSE)/25, 0)</f>
        <v>0</v>
      </c>
      <c r="J149" s="22">
        <f t="shared" si="1"/>
        <v>0</v>
      </c>
      <c r="K149" s="23" t="str">
        <f t="shared" si="2"/>
        <v>GGG</v>
      </c>
    </row>
    <row r="150" ht="30.0" customHeight="1">
      <c r="A150" s="24">
        <v>148.0</v>
      </c>
      <c r="B150" s="24" t="s">
        <v>1018</v>
      </c>
      <c r="C150" s="25" t="s">
        <v>1019</v>
      </c>
      <c r="D150" s="24" t="s">
        <v>748</v>
      </c>
      <c r="E150" s="24" t="s">
        <v>18</v>
      </c>
      <c r="F150" s="24" t="s">
        <v>11</v>
      </c>
      <c r="G150" s="26">
        <f>IFERROR(VLOOKUP($B150, MARKAH_TKRS_KAWAD!$B:$BD, 54, FALSE)/95, 0)</f>
        <v>0</v>
      </c>
      <c r="H150" s="26">
        <f>IFERROR(VLOOKUP($B150, MARKAH_TKRS_BANTU_MULA!$B:$L, 11, FALSE)/20, 0)</f>
        <v>0</v>
      </c>
      <c r="I150" s="26">
        <f>IFERROR(VLOOKUP($B150, MARKAH_TKRS_IKATAN!$B:$N, 12, FALSE)/25, 0)</f>
        <v>0</v>
      </c>
      <c r="J150" s="26">
        <f t="shared" si="1"/>
        <v>0</v>
      </c>
      <c r="K150" s="27" t="str">
        <f t="shared" si="2"/>
        <v>GGG</v>
      </c>
    </row>
    <row r="151" ht="30.0" customHeight="1">
      <c r="A151" s="20">
        <v>149.0</v>
      </c>
      <c r="B151" s="20" t="s">
        <v>1020</v>
      </c>
      <c r="C151" s="21" t="s">
        <v>1021</v>
      </c>
      <c r="D151" s="20" t="s">
        <v>347</v>
      </c>
      <c r="E151" s="20" t="s">
        <v>18</v>
      </c>
      <c r="F151" s="20" t="s">
        <v>11</v>
      </c>
      <c r="G151" s="22">
        <f>IFERROR(VLOOKUP($B151, MARKAH_TKRS_KAWAD!$B:$BD, 54, FALSE)/95, 0)</f>
        <v>0</v>
      </c>
      <c r="H151" s="22">
        <f>IFERROR(VLOOKUP($B151, MARKAH_TKRS_BANTU_MULA!$B:$L, 11, FALSE)/20, 0)</f>
        <v>0</v>
      </c>
      <c r="I151" s="22">
        <f>IFERROR(VLOOKUP($B151, MARKAH_TKRS_IKATAN!$B:$N, 12, FALSE)/25, 0)</f>
        <v>0</v>
      </c>
      <c r="J151" s="22">
        <f t="shared" si="1"/>
        <v>0</v>
      </c>
      <c r="K151" s="23" t="str">
        <f t="shared" si="2"/>
        <v>GGG</v>
      </c>
    </row>
    <row r="152" ht="30.0" customHeight="1">
      <c r="A152" s="24">
        <v>150.0</v>
      </c>
      <c r="B152" s="24" t="s">
        <v>1022</v>
      </c>
      <c r="C152" s="25" t="s">
        <v>1023</v>
      </c>
      <c r="D152" s="24" t="s">
        <v>366</v>
      </c>
      <c r="E152" s="24" t="s">
        <v>18</v>
      </c>
      <c r="F152" s="24" t="s">
        <v>11</v>
      </c>
      <c r="G152" s="26">
        <f>IFERROR(VLOOKUP($B152, MARKAH_TKRS_KAWAD!$B:$BD, 54, FALSE)/95, 0)</f>
        <v>0</v>
      </c>
      <c r="H152" s="26">
        <f>IFERROR(VLOOKUP($B152, MARKAH_TKRS_BANTU_MULA!$B:$L, 11, FALSE)/20, 0)</f>
        <v>0</v>
      </c>
      <c r="I152" s="26">
        <f>IFERROR(VLOOKUP($B152, MARKAH_TKRS_IKATAN!$B:$N, 12, FALSE)/25, 0)</f>
        <v>0</v>
      </c>
      <c r="J152" s="26">
        <f t="shared" si="1"/>
        <v>0</v>
      </c>
      <c r="K152" s="27" t="str">
        <f t="shared" si="2"/>
        <v>GGG</v>
      </c>
    </row>
    <row r="153" ht="30.0" customHeight="1">
      <c r="A153" s="20">
        <v>151.0</v>
      </c>
      <c r="B153" s="20" t="s">
        <v>1024</v>
      </c>
      <c r="C153" s="21" t="s">
        <v>1025</v>
      </c>
      <c r="D153" s="20" t="s">
        <v>767</v>
      </c>
      <c r="E153" s="20" t="s">
        <v>18</v>
      </c>
      <c r="F153" s="20" t="s">
        <v>11</v>
      </c>
      <c r="G153" s="22">
        <f>IFERROR(VLOOKUP($B153, MARKAH_TKRS_KAWAD!$B:$BD, 54, FALSE)/95, 0)</f>
        <v>0</v>
      </c>
      <c r="H153" s="22">
        <f>IFERROR(VLOOKUP($B153, MARKAH_TKRS_BANTU_MULA!$B:$L, 11, FALSE)/20, 0)</f>
        <v>0</v>
      </c>
      <c r="I153" s="22">
        <f>IFERROR(VLOOKUP($B153, MARKAH_TKRS_IKATAN!$B:$N, 12, FALSE)/25, 0)</f>
        <v>0</v>
      </c>
      <c r="J153" s="22">
        <f t="shared" si="1"/>
        <v>0</v>
      </c>
      <c r="K153" s="23" t="str">
        <f t="shared" si="2"/>
        <v>GGG</v>
      </c>
    </row>
    <row r="154" ht="30.0" customHeight="1">
      <c r="A154" s="24">
        <v>152.0</v>
      </c>
      <c r="B154" s="24" t="s">
        <v>1026</v>
      </c>
      <c r="C154" s="25" t="s">
        <v>1027</v>
      </c>
      <c r="D154" s="24" t="s">
        <v>380</v>
      </c>
      <c r="E154" s="24" t="s">
        <v>18</v>
      </c>
      <c r="F154" s="24" t="s">
        <v>11</v>
      </c>
      <c r="G154" s="26">
        <f>IFERROR(VLOOKUP($B154, MARKAH_TKRS_KAWAD!$B:$BD, 54, FALSE)/95, 0)</f>
        <v>0</v>
      </c>
      <c r="H154" s="26">
        <f>IFERROR(VLOOKUP($B154, MARKAH_TKRS_BANTU_MULA!$B:$L, 11, FALSE)/20, 0)</f>
        <v>0</v>
      </c>
      <c r="I154" s="26">
        <f>IFERROR(VLOOKUP($B154, MARKAH_TKRS_IKATAN!$B:$N, 12, FALSE)/25, 0)</f>
        <v>0</v>
      </c>
      <c r="J154" s="26">
        <f t="shared" si="1"/>
        <v>0</v>
      </c>
      <c r="K154" s="27" t="str">
        <f t="shared" si="2"/>
        <v>GGG</v>
      </c>
    </row>
    <row r="155" ht="30.0" customHeight="1">
      <c r="A155" s="20">
        <v>153.0</v>
      </c>
      <c r="B155" s="20" t="s">
        <v>1028</v>
      </c>
      <c r="C155" s="21" t="s">
        <v>1029</v>
      </c>
      <c r="D155" s="20" t="s">
        <v>773</v>
      </c>
      <c r="E155" s="20" t="s">
        <v>18</v>
      </c>
      <c r="F155" s="20" t="s">
        <v>38</v>
      </c>
      <c r="G155" s="22">
        <f>IFERROR(VLOOKUP($B155, MARKAH_TKRS_KAWAD!$B:$BD, 54, FALSE)/95, 0)</f>
        <v>0</v>
      </c>
      <c r="H155" s="22">
        <f>IFERROR(VLOOKUP($B155, MARKAH_TKRS_BANTU_MULA!$B:$L, 11, FALSE)/20, 0)</f>
        <v>0</v>
      </c>
      <c r="I155" s="22">
        <f>IFERROR(VLOOKUP($B155, MARKAH_TKRS_IKATAN!$B:$N, 12, FALSE)/25, 0)</f>
        <v>0</v>
      </c>
      <c r="J155" s="22">
        <f t="shared" si="1"/>
        <v>0</v>
      </c>
      <c r="K155" s="23" t="str">
        <f t="shared" si="2"/>
        <v>GGG</v>
      </c>
    </row>
    <row r="156" ht="30.0" customHeight="1">
      <c r="A156" s="24">
        <v>154.0</v>
      </c>
      <c r="B156" s="24" t="s">
        <v>1030</v>
      </c>
      <c r="C156" s="25" t="s">
        <v>1031</v>
      </c>
      <c r="D156" s="24" t="s">
        <v>359</v>
      </c>
      <c r="E156" s="24" t="s">
        <v>18</v>
      </c>
      <c r="F156" s="24" t="s">
        <v>11</v>
      </c>
      <c r="G156" s="26">
        <f>IFERROR(VLOOKUP($B156, MARKAH_TKRS_KAWAD!$B:$BD, 54, FALSE)/95, 0)</f>
        <v>0</v>
      </c>
      <c r="H156" s="26">
        <f>IFERROR(VLOOKUP($B156, MARKAH_TKRS_BANTU_MULA!$B:$L, 11, FALSE)/20, 0)</f>
        <v>0</v>
      </c>
      <c r="I156" s="26">
        <f>IFERROR(VLOOKUP($B156, MARKAH_TKRS_IKATAN!$B:$N, 12, FALSE)/25, 0)</f>
        <v>0</v>
      </c>
      <c r="J156" s="26">
        <f t="shared" si="1"/>
        <v>0</v>
      </c>
      <c r="K156" s="27" t="str">
        <f t="shared" si="2"/>
        <v>GGG</v>
      </c>
    </row>
    <row r="157" ht="30.0" customHeight="1">
      <c r="A157" s="20">
        <v>155.0</v>
      </c>
      <c r="B157" s="20" t="s">
        <v>1032</v>
      </c>
      <c r="C157" s="21" t="s">
        <v>1033</v>
      </c>
      <c r="D157" s="20" t="s">
        <v>359</v>
      </c>
      <c r="E157" s="20" t="s">
        <v>18</v>
      </c>
      <c r="F157" s="20" t="s">
        <v>11</v>
      </c>
      <c r="G157" s="22">
        <f>IFERROR(VLOOKUP($B157, MARKAH_TKRS_KAWAD!$B:$BD, 54, FALSE)/95, 0)</f>
        <v>0</v>
      </c>
      <c r="H157" s="22">
        <f>IFERROR(VLOOKUP($B157, MARKAH_TKRS_BANTU_MULA!$B:$L, 11, FALSE)/20, 0)</f>
        <v>0</v>
      </c>
      <c r="I157" s="22">
        <f>IFERROR(VLOOKUP($B157, MARKAH_TKRS_IKATAN!$B:$N, 12, FALSE)/25, 0)</f>
        <v>0</v>
      </c>
      <c r="J157" s="22">
        <f t="shared" si="1"/>
        <v>0</v>
      </c>
      <c r="K157" s="23" t="str">
        <f t="shared" si="2"/>
        <v>GGG</v>
      </c>
    </row>
    <row r="158" ht="30.0" customHeight="1">
      <c r="A158" s="24">
        <v>156.0</v>
      </c>
      <c r="B158" s="24" t="s">
        <v>1034</v>
      </c>
      <c r="C158" s="25" t="s">
        <v>1035</v>
      </c>
      <c r="D158" s="24" t="s">
        <v>373</v>
      </c>
      <c r="E158" s="24" t="s">
        <v>18</v>
      </c>
      <c r="F158" s="24" t="s">
        <v>11</v>
      </c>
      <c r="G158" s="26">
        <f>IFERROR(VLOOKUP($B158, MARKAH_TKRS_KAWAD!$B:$BD, 54, FALSE)/95, 0)</f>
        <v>0</v>
      </c>
      <c r="H158" s="26">
        <f>IFERROR(VLOOKUP($B158, MARKAH_TKRS_BANTU_MULA!$B:$L, 11, FALSE)/20, 0)</f>
        <v>0</v>
      </c>
      <c r="I158" s="26">
        <f>IFERROR(VLOOKUP($B158, MARKAH_TKRS_IKATAN!$B:$N, 12, FALSE)/25, 0)</f>
        <v>0</v>
      </c>
      <c r="J158" s="26">
        <f t="shared" si="1"/>
        <v>0</v>
      </c>
      <c r="K158" s="27" t="str">
        <f t="shared" si="2"/>
        <v>GGG</v>
      </c>
    </row>
    <row r="159" ht="30.0" customHeight="1">
      <c r="A159" s="20">
        <v>157.0</v>
      </c>
      <c r="B159" s="20" t="s">
        <v>1036</v>
      </c>
      <c r="C159" s="21" t="s">
        <v>1037</v>
      </c>
      <c r="D159" s="20" t="s">
        <v>370</v>
      </c>
      <c r="E159" s="20" t="s">
        <v>18</v>
      </c>
      <c r="F159" s="20" t="s">
        <v>11</v>
      </c>
      <c r="G159" s="22">
        <f>IFERROR(VLOOKUP($B159, MARKAH_TKRS_KAWAD!$B:$BD, 54, FALSE)/95, 0)</f>
        <v>0</v>
      </c>
      <c r="H159" s="22">
        <f>IFERROR(VLOOKUP($B159, MARKAH_TKRS_BANTU_MULA!$B:$L, 11, FALSE)/20, 0)</f>
        <v>0</v>
      </c>
      <c r="I159" s="22">
        <f>IFERROR(VLOOKUP($B159, MARKAH_TKRS_IKATAN!$B:$N, 12, FALSE)/25, 0)</f>
        <v>0</v>
      </c>
      <c r="J159" s="22">
        <f t="shared" si="1"/>
        <v>0</v>
      </c>
      <c r="K159" s="23" t="str">
        <f t="shared" si="2"/>
        <v>GGG</v>
      </c>
    </row>
    <row r="160" ht="30.0" customHeight="1">
      <c r="A160" s="24">
        <v>158.0</v>
      </c>
      <c r="B160" s="24" t="s">
        <v>1038</v>
      </c>
      <c r="C160" s="25" t="s">
        <v>1039</v>
      </c>
      <c r="D160" s="24" t="s">
        <v>796</v>
      </c>
      <c r="E160" s="24" t="s">
        <v>18</v>
      </c>
      <c r="F160" s="24" t="s">
        <v>11</v>
      </c>
      <c r="G160" s="26">
        <f>IFERROR(VLOOKUP($B160, MARKAH_TKRS_KAWAD!$B:$BD, 54, FALSE)/95, 0)</f>
        <v>0</v>
      </c>
      <c r="H160" s="26">
        <f>IFERROR(VLOOKUP($B160, MARKAH_TKRS_BANTU_MULA!$B:$L, 11, FALSE)/20, 0)</f>
        <v>0</v>
      </c>
      <c r="I160" s="26">
        <f>IFERROR(VLOOKUP($B160, MARKAH_TKRS_IKATAN!$B:$N, 12, FALSE)/25, 0)</f>
        <v>0</v>
      </c>
      <c r="J160" s="26">
        <f t="shared" si="1"/>
        <v>0</v>
      </c>
      <c r="K160" s="27" t="str">
        <f t="shared" si="2"/>
        <v>GGG</v>
      </c>
    </row>
    <row r="161" ht="30.0" customHeight="1">
      <c r="A161" s="20">
        <v>159.0</v>
      </c>
      <c r="B161" s="20" t="s">
        <v>1040</v>
      </c>
      <c r="C161" s="21" t="s">
        <v>1041</v>
      </c>
      <c r="D161" s="20" t="s">
        <v>799</v>
      </c>
      <c r="E161" s="20" t="s">
        <v>18</v>
      </c>
      <c r="F161" s="20" t="s">
        <v>11</v>
      </c>
      <c r="G161" s="22">
        <f>IFERROR(VLOOKUP($B161, MARKAH_TKRS_KAWAD!$B:$BD, 54, FALSE)/95, 0)</f>
        <v>0</v>
      </c>
      <c r="H161" s="22">
        <f>IFERROR(VLOOKUP($B161, MARKAH_TKRS_BANTU_MULA!$B:$L, 11, FALSE)/20, 0)</f>
        <v>0</v>
      </c>
      <c r="I161" s="22">
        <f>IFERROR(VLOOKUP($B161, MARKAH_TKRS_IKATAN!$B:$N, 12, FALSE)/25, 0)</f>
        <v>0</v>
      </c>
      <c r="J161" s="22">
        <f t="shared" si="1"/>
        <v>0</v>
      </c>
      <c r="K161" s="23" t="str">
        <f t="shared" si="2"/>
        <v>GGG</v>
      </c>
    </row>
    <row r="162" ht="30.0" customHeight="1">
      <c r="A162" s="24">
        <v>160.0</v>
      </c>
      <c r="B162" s="24" t="s">
        <v>1042</v>
      </c>
      <c r="C162" s="25" t="s">
        <v>1043</v>
      </c>
      <c r="D162" s="24" t="s">
        <v>808</v>
      </c>
      <c r="E162" s="24" t="s">
        <v>18</v>
      </c>
      <c r="F162" s="24" t="s">
        <v>11</v>
      </c>
      <c r="G162" s="26">
        <f>IFERROR(VLOOKUP($B162, MARKAH_TKRS_KAWAD!$B:$BD, 54, FALSE)/95, 0)</f>
        <v>0</v>
      </c>
      <c r="H162" s="26">
        <f>IFERROR(VLOOKUP($B162, MARKAH_TKRS_BANTU_MULA!$B:$L, 11, FALSE)/20, 0)</f>
        <v>0</v>
      </c>
      <c r="I162" s="26">
        <f>IFERROR(VLOOKUP($B162, MARKAH_TKRS_IKATAN!$B:$N, 12, FALSE)/25, 0)</f>
        <v>0</v>
      </c>
      <c r="J162" s="26">
        <f t="shared" si="1"/>
        <v>0</v>
      </c>
      <c r="K162" s="27" t="str">
        <f t="shared" si="2"/>
        <v>GGG</v>
      </c>
    </row>
    <row r="163" ht="30.0" customHeight="1">
      <c r="A163" s="20">
        <v>161.0</v>
      </c>
      <c r="B163" s="20" t="s">
        <v>1044</v>
      </c>
      <c r="C163" s="21" t="s">
        <v>1045</v>
      </c>
      <c r="D163" s="20" t="s">
        <v>326</v>
      </c>
      <c r="E163" s="20" t="s">
        <v>18</v>
      </c>
      <c r="F163" s="20" t="s">
        <v>11</v>
      </c>
      <c r="G163" s="22">
        <f>IFERROR(VLOOKUP($B163, MARKAH_TKRS_KAWAD!$B:$BD, 54, FALSE)/95, 0)</f>
        <v>0</v>
      </c>
      <c r="H163" s="22">
        <f>IFERROR(VLOOKUP($B163, MARKAH_TKRS_BANTU_MULA!$B:$L, 11, FALSE)/20, 0)</f>
        <v>0</v>
      </c>
      <c r="I163" s="22">
        <f>IFERROR(VLOOKUP($B163, MARKAH_TKRS_IKATAN!$B:$N, 12, FALSE)/25, 0)</f>
        <v>0</v>
      </c>
      <c r="J163" s="22">
        <f t="shared" si="1"/>
        <v>0</v>
      </c>
      <c r="K163" s="23" t="str">
        <f t="shared" si="2"/>
        <v>GGG</v>
      </c>
    </row>
  </sheetData>
  <mergeCells count="9">
    <mergeCell ref="J1:J2"/>
    <mergeCell ref="K1:K2"/>
    <mergeCell ref="A1:A2"/>
    <mergeCell ref="B1:B2"/>
    <mergeCell ref="C1:C2"/>
    <mergeCell ref="D1:D2"/>
    <mergeCell ref="E1:E2"/>
    <mergeCell ref="F1:F2"/>
    <mergeCell ref="G1:I1"/>
  </mergeCells>
  <conditionalFormatting sqref="A1:K163">
    <cfRule type="cellIs" dxfId="1" priority="1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13.88"/>
    <col customWidth="1" min="3" max="3" width="39.25"/>
    <col customWidth="1" min="4" max="4" width="30.0"/>
    <col customWidth="1" min="5" max="5" width="10.75"/>
    <col customWidth="1" min="6" max="6" width="12.25"/>
    <col customWidth="1" min="7" max="7" width="14.25"/>
    <col customWidth="1" min="8" max="8" width="14.63"/>
    <col customWidth="1" min="9" max="9" width="9.5"/>
    <col customWidth="1" min="10" max="10" width="18.75"/>
    <col customWidth="1" min="11" max="11" width="15.38"/>
  </cols>
  <sheetData>
    <row r="1" ht="30.75" customHeight="1">
      <c r="A1" s="28" t="s">
        <v>632</v>
      </c>
      <c r="B1" s="28" t="s">
        <v>0</v>
      </c>
      <c r="C1" s="29" t="s">
        <v>1</v>
      </c>
      <c r="D1" s="29" t="s">
        <v>2</v>
      </c>
      <c r="E1" s="28" t="s">
        <v>3</v>
      </c>
      <c r="F1" s="28" t="s">
        <v>4</v>
      </c>
      <c r="G1" s="30" t="s">
        <v>646</v>
      </c>
      <c r="H1" s="16"/>
      <c r="I1" s="17"/>
      <c r="J1" s="28" t="s">
        <v>650</v>
      </c>
      <c r="K1" s="28" t="s">
        <v>926</v>
      </c>
    </row>
    <row r="2" ht="30.75" customHeight="1">
      <c r="A2" s="18"/>
      <c r="B2" s="18"/>
      <c r="C2" s="18"/>
      <c r="D2" s="18"/>
      <c r="E2" s="18"/>
      <c r="F2" s="18"/>
      <c r="G2" s="31" t="s">
        <v>656</v>
      </c>
      <c r="H2" s="31" t="s">
        <v>659</v>
      </c>
      <c r="I2" s="31" t="s">
        <v>660</v>
      </c>
      <c r="J2" s="18"/>
      <c r="K2" s="18"/>
    </row>
    <row r="3" ht="30.75" customHeight="1">
      <c r="A3" s="20">
        <v>1.0</v>
      </c>
      <c r="B3" s="20" t="s">
        <v>6</v>
      </c>
      <c r="C3" s="21" t="s">
        <v>49</v>
      </c>
      <c r="D3" s="20" t="s">
        <v>50</v>
      </c>
      <c r="E3" s="20" t="s">
        <v>10</v>
      </c>
      <c r="F3" s="20" t="s">
        <v>11</v>
      </c>
      <c r="G3" s="22">
        <f>IFERROR(VLOOKUP($B3, MARKAH_KRS_KAWAD!$B:$BD, 54, FALSE)/137,0)</f>
        <v>0.6569343066</v>
      </c>
      <c r="H3" s="22">
        <f>IFERROR(VLOOKUP($B3, MARKAH_KRS_BANTU_MULA!$B:$L, 11, FALSE)/20, 0)
</f>
        <v>0</v>
      </c>
      <c r="I3" s="22">
        <f>IFERROR(VLOOKUP($B3, MARKAH_KRS_IKATAN!$B:$N, 12, FALSE)/25, 0)
</f>
        <v>0</v>
      </c>
      <c r="J3" s="22">
        <f t="shared" ref="J3:J146" si="1">IFERROR((G3 * 0.6) + (H3 * 0.2) + (I3 * 0.2), 0)</f>
        <v>0.3941605839</v>
      </c>
      <c r="K3" s="23" t="str">
        <f t="shared" ref="K3:K146" si="2">IF(G3&gt;=0.5, "L", "G") &amp; IF(((H3+I3)/2)&gt;=0.5, "L", "G") &amp; IF(J3&gt;=0.6, "L", "G")</f>
        <v>LGG</v>
      </c>
    </row>
    <row r="4" ht="30.75" customHeight="1">
      <c r="A4" s="24">
        <v>2.0</v>
      </c>
      <c r="B4" s="24" t="s">
        <v>13</v>
      </c>
      <c r="C4" s="25" t="s">
        <v>71</v>
      </c>
      <c r="D4" s="24" t="s">
        <v>72</v>
      </c>
      <c r="E4" s="24" t="s">
        <v>10</v>
      </c>
      <c r="F4" s="24" t="s">
        <v>38</v>
      </c>
      <c r="G4" s="26">
        <f>IFERROR(VLOOKUP($B4, MARKAH_KRS_KAWAD!$B:$BD, 54, FALSE)/137,0)</f>
        <v>0</v>
      </c>
      <c r="H4" s="26">
        <f>IFERROR(VLOOKUP($B4, MARKAH_KRS_BANTU_MULA!$B:$L, 11, FALSE)/20, 0)
</f>
        <v>0</v>
      </c>
      <c r="I4" s="26">
        <f>IFERROR(VLOOKUP($B4, MARKAH_KRS_IKATAN!$B:$N, 12, FALSE)/25, 0)
</f>
        <v>0</v>
      </c>
      <c r="J4" s="26">
        <f t="shared" si="1"/>
        <v>0</v>
      </c>
      <c r="K4" s="27" t="str">
        <f t="shared" si="2"/>
        <v>GGG</v>
      </c>
    </row>
    <row r="5" ht="30.75" customHeight="1">
      <c r="A5" s="20">
        <v>3.0</v>
      </c>
      <c r="B5" s="20" t="s">
        <v>19</v>
      </c>
      <c r="C5" s="21" t="s">
        <v>80</v>
      </c>
      <c r="D5" s="20" t="s">
        <v>82</v>
      </c>
      <c r="E5" s="20" t="s">
        <v>10</v>
      </c>
      <c r="F5" s="20" t="s">
        <v>11</v>
      </c>
      <c r="G5" s="22">
        <f>IFERROR(VLOOKUP($B5, MARKAH_KRS_KAWAD!$B:$BD, 54, FALSE)/137,0)</f>
        <v>0</v>
      </c>
      <c r="H5" s="22">
        <f>IFERROR(VLOOKUP($B5, MARKAH_KRS_BANTU_MULA!$B:$L, 11, FALSE)/20, 0)
</f>
        <v>0</v>
      </c>
      <c r="I5" s="22">
        <f>IFERROR(VLOOKUP($B5, MARKAH_KRS_IKATAN!$B:$N, 12, FALSE)/25, 0)
</f>
        <v>0</v>
      </c>
      <c r="J5" s="22">
        <f t="shared" si="1"/>
        <v>0</v>
      </c>
      <c r="K5" s="23" t="str">
        <f t="shared" si="2"/>
        <v>GGG</v>
      </c>
    </row>
    <row r="6" ht="30.75" customHeight="1">
      <c r="A6" s="24">
        <v>4.0</v>
      </c>
      <c r="B6" s="24" t="s">
        <v>23</v>
      </c>
      <c r="C6" s="25" t="s">
        <v>90</v>
      </c>
      <c r="D6" s="24" t="s">
        <v>92</v>
      </c>
      <c r="E6" s="24" t="s">
        <v>10</v>
      </c>
      <c r="F6" s="24" t="s">
        <v>11</v>
      </c>
      <c r="G6" s="26">
        <f>IFERROR(VLOOKUP($B6, MARKAH_KRS_KAWAD!$B:$BD, 54, FALSE)/137,0)</f>
        <v>0</v>
      </c>
      <c r="H6" s="26">
        <f>IFERROR(VLOOKUP($B6, MARKAH_KRS_BANTU_MULA!$B:$L, 11, FALSE)/20, 0)
</f>
        <v>0</v>
      </c>
      <c r="I6" s="26">
        <f>IFERROR(VLOOKUP($B6, MARKAH_KRS_IKATAN!$B:$N, 12, FALSE)/25, 0)
</f>
        <v>0</v>
      </c>
      <c r="J6" s="26">
        <f t="shared" si="1"/>
        <v>0</v>
      </c>
      <c r="K6" s="27" t="str">
        <f t="shared" si="2"/>
        <v>GGG</v>
      </c>
    </row>
    <row r="7" ht="30.75" customHeight="1">
      <c r="A7" s="20">
        <v>5.0</v>
      </c>
      <c r="B7" s="20" t="s">
        <v>25</v>
      </c>
      <c r="C7" s="21" t="s">
        <v>98</v>
      </c>
      <c r="D7" s="20" t="s">
        <v>100</v>
      </c>
      <c r="E7" s="20" t="s">
        <v>10</v>
      </c>
      <c r="F7" s="20" t="s">
        <v>11</v>
      </c>
      <c r="G7" s="22">
        <f>IFERROR(VLOOKUP($B7, MARKAH_KRS_KAWAD!$B:$BD, 54, FALSE)/137,0)</f>
        <v>0</v>
      </c>
      <c r="H7" s="22">
        <f>IFERROR(VLOOKUP($B7, MARKAH_KRS_BANTU_MULA!$B:$L, 11, FALSE)/20, 0)
</f>
        <v>0</v>
      </c>
      <c r="I7" s="22">
        <f>IFERROR(VLOOKUP($B7, MARKAH_KRS_IKATAN!$B:$N, 12, FALSE)/25, 0)
</f>
        <v>0</v>
      </c>
      <c r="J7" s="22">
        <f t="shared" si="1"/>
        <v>0</v>
      </c>
      <c r="K7" s="23" t="str">
        <f t="shared" si="2"/>
        <v>GGG</v>
      </c>
    </row>
    <row r="8" ht="30.75" customHeight="1">
      <c r="A8" s="24">
        <v>6.0</v>
      </c>
      <c r="B8" s="24" t="s">
        <v>28</v>
      </c>
      <c r="C8" s="25" t="s">
        <v>110</v>
      </c>
      <c r="D8" s="24" t="s">
        <v>100</v>
      </c>
      <c r="E8" s="24" t="s">
        <v>10</v>
      </c>
      <c r="F8" s="24" t="s">
        <v>11</v>
      </c>
      <c r="G8" s="26">
        <f>IFERROR(VLOOKUP($B8, MARKAH_KRS_KAWAD!$B:$BD, 54, FALSE)/137,0)</f>
        <v>0</v>
      </c>
      <c r="H8" s="26">
        <f>IFERROR(VLOOKUP($B8, MARKAH_KRS_BANTU_MULA!$B:$L, 11, FALSE)/20, 0)
</f>
        <v>0</v>
      </c>
      <c r="I8" s="26">
        <f>IFERROR(VLOOKUP($B8, MARKAH_KRS_IKATAN!$B:$N, 12, FALSE)/25, 0)
</f>
        <v>0</v>
      </c>
      <c r="J8" s="26">
        <f t="shared" si="1"/>
        <v>0</v>
      </c>
      <c r="K8" s="27" t="str">
        <f t="shared" si="2"/>
        <v>GGG</v>
      </c>
    </row>
    <row r="9" ht="30.75" customHeight="1">
      <c r="A9" s="20">
        <v>7.0</v>
      </c>
      <c r="B9" s="20" t="s">
        <v>31</v>
      </c>
      <c r="C9" s="21" t="s">
        <v>119</v>
      </c>
      <c r="D9" s="20" t="s">
        <v>59</v>
      </c>
      <c r="E9" s="20" t="s">
        <v>10</v>
      </c>
      <c r="F9" s="20" t="s">
        <v>11</v>
      </c>
      <c r="G9" s="22">
        <f>IFERROR(VLOOKUP($B9, MARKAH_KRS_KAWAD!$B:$BD, 54, FALSE)/137,0)</f>
        <v>0</v>
      </c>
      <c r="H9" s="22">
        <f>IFERROR(VLOOKUP($B9, MARKAH_KRS_BANTU_MULA!$B:$L, 11, FALSE)/20, 0)
</f>
        <v>0</v>
      </c>
      <c r="I9" s="22">
        <f>IFERROR(VLOOKUP($B9, MARKAH_KRS_IKATAN!$B:$N, 12, FALSE)/25, 0)
</f>
        <v>0</v>
      </c>
      <c r="J9" s="22">
        <f t="shared" si="1"/>
        <v>0</v>
      </c>
      <c r="K9" s="23" t="str">
        <f t="shared" si="2"/>
        <v>GGG</v>
      </c>
    </row>
    <row r="10" ht="30.75" customHeight="1">
      <c r="A10" s="24">
        <v>8.0</v>
      </c>
      <c r="B10" s="24" t="s">
        <v>35</v>
      </c>
      <c r="C10" s="25" t="s">
        <v>130</v>
      </c>
      <c r="D10" s="24" t="s">
        <v>132</v>
      </c>
      <c r="E10" s="24" t="s">
        <v>10</v>
      </c>
      <c r="F10" s="24" t="s">
        <v>11</v>
      </c>
      <c r="G10" s="26">
        <f>IFERROR(VLOOKUP($B10, MARKAH_KRS_KAWAD!$B:$BD, 54, FALSE)/137,0)</f>
        <v>0</v>
      </c>
      <c r="H10" s="26">
        <f>IFERROR(VLOOKUP($B10, MARKAH_KRS_BANTU_MULA!$B:$L, 11, FALSE)/20, 0)
</f>
        <v>0</v>
      </c>
      <c r="I10" s="26">
        <f>IFERROR(VLOOKUP($B10, MARKAH_KRS_IKATAN!$B:$N, 12, FALSE)/25, 0)
</f>
        <v>0</v>
      </c>
      <c r="J10" s="26">
        <f t="shared" si="1"/>
        <v>0</v>
      </c>
      <c r="K10" s="27" t="str">
        <f t="shared" si="2"/>
        <v>GGG</v>
      </c>
    </row>
    <row r="11" ht="30.75" customHeight="1">
      <c r="A11" s="20">
        <v>9.0</v>
      </c>
      <c r="B11" s="20" t="s">
        <v>39</v>
      </c>
      <c r="C11" s="21" t="s">
        <v>145</v>
      </c>
      <c r="D11" s="20" t="s">
        <v>27</v>
      </c>
      <c r="E11" s="20" t="s">
        <v>10</v>
      </c>
      <c r="F11" s="20" t="s">
        <v>11</v>
      </c>
      <c r="G11" s="22">
        <f>IFERROR(VLOOKUP($B11, MARKAH_KRS_KAWAD!$B:$BD, 54, FALSE)/137,0)</f>
        <v>0</v>
      </c>
      <c r="H11" s="22">
        <f>IFERROR(VLOOKUP($B11, MARKAH_KRS_BANTU_MULA!$B:$L, 11, FALSE)/20, 0)
</f>
        <v>0</v>
      </c>
      <c r="I11" s="22">
        <f>IFERROR(VLOOKUP($B11, MARKAH_KRS_IKATAN!$B:$N, 12, FALSE)/25, 0)
</f>
        <v>0</v>
      </c>
      <c r="J11" s="22">
        <f t="shared" si="1"/>
        <v>0</v>
      </c>
      <c r="K11" s="23" t="str">
        <f t="shared" si="2"/>
        <v>GGG</v>
      </c>
    </row>
    <row r="12" ht="30.75" customHeight="1">
      <c r="A12" s="24">
        <v>10.0</v>
      </c>
      <c r="B12" s="24" t="s">
        <v>44</v>
      </c>
      <c r="C12" s="25" t="s">
        <v>158</v>
      </c>
      <c r="D12" s="24" t="s">
        <v>27</v>
      </c>
      <c r="E12" s="24" t="s">
        <v>10</v>
      </c>
      <c r="F12" s="24" t="s">
        <v>11</v>
      </c>
      <c r="G12" s="26">
        <f>IFERROR(VLOOKUP($B12, MARKAH_KRS_KAWAD!$B:$BD, 54, FALSE)/137,0)</f>
        <v>0</v>
      </c>
      <c r="H12" s="26">
        <f>IFERROR(VLOOKUP($B12, MARKAH_KRS_BANTU_MULA!$B:$L, 11, FALSE)/20, 0)
</f>
        <v>0</v>
      </c>
      <c r="I12" s="26">
        <f>IFERROR(VLOOKUP($B12, MARKAH_KRS_IKATAN!$B:$N, 12, FALSE)/25, 0)
</f>
        <v>0</v>
      </c>
      <c r="J12" s="26">
        <f t="shared" si="1"/>
        <v>0</v>
      </c>
      <c r="K12" s="27" t="str">
        <f t="shared" si="2"/>
        <v>GGG</v>
      </c>
    </row>
    <row r="13" ht="30.75" customHeight="1">
      <c r="A13" s="20">
        <v>11.0</v>
      </c>
      <c r="B13" s="20" t="s">
        <v>171</v>
      </c>
      <c r="C13" s="21" t="s">
        <v>172</v>
      </c>
      <c r="D13" s="20" t="s">
        <v>27</v>
      </c>
      <c r="E13" s="20" t="s">
        <v>10</v>
      </c>
      <c r="F13" s="20" t="s">
        <v>11</v>
      </c>
      <c r="G13" s="22">
        <f>IFERROR(VLOOKUP($B13, MARKAH_KRS_KAWAD!$B:$BD, 54, FALSE)/137,0)</f>
        <v>0</v>
      </c>
      <c r="H13" s="22">
        <f>IFERROR(VLOOKUP($B13, MARKAH_KRS_BANTU_MULA!$B:$L, 11, FALSE)/20, 0)
</f>
        <v>0</v>
      </c>
      <c r="I13" s="22">
        <f>IFERROR(VLOOKUP($B13, MARKAH_KRS_IKATAN!$B:$N, 12, FALSE)/25, 0)
</f>
        <v>0</v>
      </c>
      <c r="J13" s="22">
        <f t="shared" si="1"/>
        <v>0</v>
      </c>
      <c r="K13" s="23" t="str">
        <f t="shared" si="2"/>
        <v>GGG</v>
      </c>
    </row>
    <row r="14" ht="30.75" customHeight="1">
      <c r="A14" s="24">
        <v>12.0</v>
      </c>
      <c r="B14" s="24" t="s">
        <v>46</v>
      </c>
      <c r="C14" s="25" t="s">
        <v>183</v>
      </c>
      <c r="D14" s="24" t="s">
        <v>27</v>
      </c>
      <c r="E14" s="24" t="s">
        <v>10</v>
      </c>
      <c r="F14" s="24" t="s">
        <v>11</v>
      </c>
      <c r="G14" s="26">
        <f>IFERROR(VLOOKUP($B14, MARKAH_KRS_KAWAD!$B:$BD, 54, FALSE)/137,0)</f>
        <v>0</v>
      </c>
      <c r="H14" s="26">
        <f>IFERROR(VLOOKUP($B14, MARKAH_KRS_BANTU_MULA!$B:$L, 11, FALSE)/20, 0)
</f>
        <v>0</v>
      </c>
      <c r="I14" s="26">
        <f>IFERROR(VLOOKUP($B14, MARKAH_KRS_IKATAN!$B:$N, 12, FALSE)/25, 0)
</f>
        <v>0</v>
      </c>
      <c r="J14" s="26">
        <f t="shared" si="1"/>
        <v>0</v>
      </c>
      <c r="K14" s="27" t="str">
        <f t="shared" si="2"/>
        <v>GGG</v>
      </c>
    </row>
    <row r="15" ht="30.75" customHeight="1">
      <c r="A15" s="20">
        <v>13.0</v>
      </c>
      <c r="B15" s="20" t="s">
        <v>51</v>
      </c>
      <c r="C15" s="21" t="s">
        <v>193</v>
      </c>
      <c r="D15" s="20" t="s">
        <v>125</v>
      </c>
      <c r="E15" s="20" t="s">
        <v>10</v>
      </c>
      <c r="F15" s="20" t="s">
        <v>38</v>
      </c>
      <c r="G15" s="22">
        <f>IFERROR(VLOOKUP($B15, MARKAH_KRS_KAWAD!$B:$BD, 54, FALSE)/137,0)</f>
        <v>0</v>
      </c>
      <c r="H15" s="22">
        <f>IFERROR(VLOOKUP($B15, MARKAH_KRS_BANTU_MULA!$B:$L, 11, FALSE)/20, 0)
</f>
        <v>0</v>
      </c>
      <c r="I15" s="22">
        <f>IFERROR(VLOOKUP($B15, MARKAH_KRS_IKATAN!$B:$N, 12, FALSE)/25, 0)
</f>
        <v>0</v>
      </c>
      <c r="J15" s="22">
        <f t="shared" si="1"/>
        <v>0</v>
      </c>
      <c r="K15" s="23" t="str">
        <f t="shared" si="2"/>
        <v>GGG</v>
      </c>
    </row>
    <row r="16" ht="30.75" customHeight="1">
      <c r="A16" s="24">
        <v>14.0</v>
      </c>
      <c r="B16" s="24" t="s">
        <v>53</v>
      </c>
      <c r="C16" s="25" t="s">
        <v>202</v>
      </c>
      <c r="D16" s="24" t="s">
        <v>203</v>
      </c>
      <c r="E16" s="24" t="s">
        <v>10</v>
      </c>
      <c r="F16" s="24" t="s">
        <v>11</v>
      </c>
      <c r="G16" s="26">
        <f>IFERROR(VLOOKUP($B16, MARKAH_KRS_KAWAD!$B:$BD, 54, FALSE)/137,0)</f>
        <v>0</v>
      </c>
      <c r="H16" s="26">
        <f>IFERROR(VLOOKUP($B16, MARKAH_KRS_BANTU_MULA!$B:$L, 11, FALSE)/20, 0)
</f>
        <v>0</v>
      </c>
      <c r="I16" s="26">
        <f>IFERROR(VLOOKUP($B16, MARKAH_KRS_IKATAN!$B:$N, 12, FALSE)/25, 0)
</f>
        <v>0</v>
      </c>
      <c r="J16" s="26">
        <f t="shared" si="1"/>
        <v>0</v>
      </c>
      <c r="K16" s="27" t="str">
        <f t="shared" si="2"/>
        <v>GGG</v>
      </c>
    </row>
    <row r="17" ht="30.75" customHeight="1">
      <c r="A17" s="20">
        <v>15.0</v>
      </c>
      <c r="B17" s="20" t="s">
        <v>57</v>
      </c>
      <c r="C17" s="21" t="s">
        <v>215</v>
      </c>
      <c r="D17" s="20" t="s">
        <v>166</v>
      </c>
      <c r="E17" s="20" t="s">
        <v>10</v>
      </c>
      <c r="F17" s="20" t="s">
        <v>38</v>
      </c>
      <c r="G17" s="22">
        <f>IFERROR(VLOOKUP($B17, MARKAH_KRS_KAWAD!$B:$BD, 54, FALSE)/137,0)</f>
        <v>0</v>
      </c>
      <c r="H17" s="22">
        <f>IFERROR(VLOOKUP($B17, MARKAH_KRS_BANTU_MULA!$B:$L, 11, FALSE)/20, 0)
</f>
        <v>0</v>
      </c>
      <c r="I17" s="22">
        <f>IFERROR(VLOOKUP($B17, MARKAH_KRS_IKATAN!$B:$N, 12, FALSE)/25, 0)
</f>
        <v>0</v>
      </c>
      <c r="J17" s="22">
        <f t="shared" si="1"/>
        <v>0</v>
      </c>
      <c r="K17" s="23" t="str">
        <f t="shared" si="2"/>
        <v>GGG</v>
      </c>
    </row>
    <row r="18" ht="30.75" customHeight="1">
      <c r="A18" s="24">
        <v>16.0</v>
      </c>
      <c r="B18" s="24" t="s">
        <v>60</v>
      </c>
      <c r="C18" s="25" t="s">
        <v>225</v>
      </c>
      <c r="D18" s="24" t="s">
        <v>226</v>
      </c>
      <c r="E18" s="24" t="s">
        <v>10</v>
      </c>
      <c r="F18" s="24" t="s">
        <v>11</v>
      </c>
      <c r="G18" s="26">
        <f>IFERROR(VLOOKUP($B18, MARKAH_KRS_KAWAD!$B:$BD, 54, FALSE)/137,0)</f>
        <v>0</v>
      </c>
      <c r="H18" s="26">
        <f>IFERROR(VLOOKUP($B18, MARKAH_KRS_BANTU_MULA!$B:$L, 11, FALSE)/20, 0)
</f>
        <v>0</v>
      </c>
      <c r="I18" s="26">
        <f>IFERROR(VLOOKUP($B18, MARKAH_KRS_IKATAN!$B:$N, 12, FALSE)/25, 0)
</f>
        <v>0</v>
      </c>
      <c r="J18" s="26">
        <f t="shared" si="1"/>
        <v>0</v>
      </c>
      <c r="K18" s="27" t="str">
        <f t="shared" si="2"/>
        <v>GGG</v>
      </c>
    </row>
    <row r="19" ht="30.75" customHeight="1">
      <c r="A19" s="20">
        <v>17.0</v>
      </c>
      <c r="B19" s="20" t="s">
        <v>63</v>
      </c>
      <c r="C19" s="21" t="s">
        <v>237</v>
      </c>
      <c r="D19" s="20" t="s">
        <v>238</v>
      </c>
      <c r="E19" s="20" t="s">
        <v>10</v>
      </c>
      <c r="F19" s="20" t="s">
        <v>38</v>
      </c>
      <c r="G19" s="22">
        <f>IFERROR(VLOOKUP($B19, MARKAH_KRS_KAWAD!$B:$BD, 54, FALSE)/137,0)</f>
        <v>0</v>
      </c>
      <c r="H19" s="22">
        <f>IFERROR(VLOOKUP($B19, MARKAH_KRS_BANTU_MULA!$B:$L, 11, FALSE)/20, 0)
</f>
        <v>0</v>
      </c>
      <c r="I19" s="22">
        <f>IFERROR(VLOOKUP($B19, MARKAH_KRS_IKATAN!$B:$N, 12, FALSE)/25, 0)
</f>
        <v>0</v>
      </c>
      <c r="J19" s="22">
        <f t="shared" si="1"/>
        <v>0</v>
      </c>
      <c r="K19" s="23" t="str">
        <f t="shared" si="2"/>
        <v>GGG</v>
      </c>
    </row>
    <row r="20" ht="30.75" customHeight="1">
      <c r="A20" s="24">
        <v>18.0</v>
      </c>
      <c r="B20" s="24" t="s">
        <v>65</v>
      </c>
      <c r="C20" s="25" t="s">
        <v>247</v>
      </c>
      <c r="D20" s="24" t="s">
        <v>48</v>
      </c>
      <c r="E20" s="24" t="s">
        <v>10</v>
      </c>
      <c r="F20" s="24" t="s">
        <v>11</v>
      </c>
      <c r="G20" s="26">
        <f>IFERROR(VLOOKUP($B20, MARKAH_KRS_KAWAD!$B:$BD, 54, FALSE)/137,0)</f>
        <v>0</v>
      </c>
      <c r="H20" s="26">
        <f>IFERROR(VLOOKUP($B20, MARKAH_KRS_BANTU_MULA!$B:$L, 11, FALSE)/20, 0)
</f>
        <v>0</v>
      </c>
      <c r="I20" s="26">
        <f>IFERROR(VLOOKUP($B20, MARKAH_KRS_IKATAN!$B:$N, 12, FALSE)/25, 0)
</f>
        <v>0</v>
      </c>
      <c r="J20" s="26">
        <f t="shared" si="1"/>
        <v>0</v>
      </c>
      <c r="K20" s="27" t="str">
        <f t="shared" si="2"/>
        <v>GGG</v>
      </c>
    </row>
    <row r="21" ht="30.75" customHeight="1">
      <c r="A21" s="20">
        <v>19.0</v>
      </c>
      <c r="B21" s="20" t="s">
        <v>67</v>
      </c>
      <c r="C21" s="21" t="s">
        <v>260</v>
      </c>
      <c r="D21" s="20" t="s">
        <v>48</v>
      </c>
      <c r="E21" s="20" t="s">
        <v>10</v>
      </c>
      <c r="F21" s="20" t="s">
        <v>11</v>
      </c>
      <c r="G21" s="22">
        <f>IFERROR(VLOOKUP($B21, MARKAH_KRS_KAWAD!$B:$BD, 54, FALSE)/137,0)</f>
        <v>0</v>
      </c>
      <c r="H21" s="22">
        <f>IFERROR(VLOOKUP($B21, MARKAH_KRS_BANTU_MULA!$B:$L, 11, FALSE)/20, 0)
</f>
        <v>0</v>
      </c>
      <c r="I21" s="22">
        <f>IFERROR(VLOOKUP($B21, MARKAH_KRS_IKATAN!$B:$N, 12, FALSE)/25, 0)
</f>
        <v>0</v>
      </c>
      <c r="J21" s="22">
        <f t="shared" si="1"/>
        <v>0</v>
      </c>
      <c r="K21" s="23" t="str">
        <f t="shared" si="2"/>
        <v>GGG</v>
      </c>
    </row>
    <row r="22" ht="30.75" customHeight="1">
      <c r="A22" s="24">
        <v>20.0</v>
      </c>
      <c r="B22" s="24" t="s">
        <v>69</v>
      </c>
      <c r="C22" s="25" t="s">
        <v>271</v>
      </c>
      <c r="D22" s="24" t="s">
        <v>48</v>
      </c>
      <c r="E22" s="24" t="s">
        <v>10</v>
      </c>
      <c r="F22" s="24" t="s">
        <v>11</v>
      </c>
      <c r="G22" s="26">
        <f>IFERROR(VLOOKUP($B22, MARKAH_KRS_KAWAD!$B:$BD, 54, FALSE)/137,0)</f>
        <v>0</v>
      </c>
      <c r="H22" s="26">
        <f>IFERROR(VLOOKUP($B22, MARKAH_KRS_BANTU_MULA!$B:$L, 11, FALSE)/20, 0)
</f>
        <v>0</v>
      </c>
      <c r="I22" s="26">
        <f>IFERROR(VLOOKUP($B22, MARKAH_KRS_IKATAN!$B:$N, 12, FALSE)/25, 0)
</f>
        <v>0</v>
      </c>
      <c r="J22" s="26">
        <f t="shared" si="1"/>
        <v>0</v>
      </c>
      <c r="K22" s="27" t="str">
        <f t="shared" si="2"/>
        <v>GGG</v>
      </c>
    </row>
    <row r="23" ht="30.75" customHeight="1">
      <c r="A23" s="20">
        <v>21.0</v>
      </c>
      <c r="B23" s="20" t="s">
        <v>281</v>
      </c>
      <c r="C23" s="21" t="s">
        <v>282</v>
      </c>
      <c r="D23" s="20" t="s">
        <v>48</v>
      </c>
      <c r="E23" s="20" t="s">
        <v>10</v>
      </c>
      <c r="F23" s="20" t="s">
        <v>11</v>
      </c>
      <c r="G23" s="22">
        <f>IFERROR(VLOOKUP($B23, MARKAH_KRS_KAWAD!$B:$BD, 54, FALSE)/137,0)</f>
        <v>0</v>
      </c>
      <c r="H23" s="22">
        <f>IFERROR(VLOOKUP($B23, MARKAH_KRS_BANTU_MULA!$B:$L, 11, FALSE)/20, 0)
</f>
        <v>0</v>
      </c>
      <c r="I23" s="22">
        <f>IFERROR(VLOOKUP($B23, MARKAH_KRS_IKATAN!$B:$N, 12, FALSE)/25, 0)
</f>
        <v>0</v>
      </c>
      <c r="J23" s="22">
        <f t="shared" si="1"/>
        <v>0</v>
      </c>
      <c r="K23" s="23" t="str">
        <f t="shared" si="2"/>
        <v>GGG</v>
      </c>
    </row>
    <row r="24" ht="30.75" customHeight="1">
      <c r="A24" s="24">
        <v>22.0</v>
      </c>
      <c r="B24" s="24" t="s">
        <v>73</v>
      </c>
      <c r="C24" s="25" t="s">
        <v>295</v>
      </c>
      <c r="D24" s="24" t="s">
        <v>48</v>
      </c>
      <c r="E24" s="24" t="s">
        <v>10</v>
      </c>
      <c r="F24" s="24" t="s">
        <v>11</v>
      </c>
      <c r="G24" s="26">
        <f>IFERROR(VLOOKUP($B24, MARKAH_KRS_KAWAD!$B:$BD, 54, FALSE)/137,0)</f>
        <v>0</v>
      </c>
      <c r="H24" s="26">
        <f>IFERROR(VLOOKUP($B24, MARKAH_KRS_BANTU_MULA!$B:$L, 11, FALSE)/20, 0)
</f>
        <v>0</v>
      </c>
      <c r="I24" s="26">
        <f>IFERROR(VLOOKUP($B24, MARKAH_KRS_IKATAN!$B:$N, 12, FALSE)/25, 0)
</f>
        <v>0</v>
      </c>
      <c r="J24" s="26">
        <f t="shared" si="1"/>
        <v>0</v>
      </c>
      <c r="K24" s="27" t="str">
        <f t="shared" si="2"/>
        <v>GGG</v>
      </c>
    </row>
    <row r="25" ht="30.75" customHeight="1">
      <c r="A25" s="20">
        <v>23.0</v>
      </c>
      <c r="B25" s="20" t="s">
        <v>305</v>
      </c>
      <c r="C25" s="21" t="s">
        <v>307</v>
      </c>
      <c r="D25" s="20" t="s">
        <v>309</v>
      </c>
      <c r="E25" s="20" t="s">
        <v>10</v>
      </c>
      <c r="F25" s="20" t="s">
        <v>11</v>
      </c>
      <c r="G25" s="22">
        <f>IFERROR(VLOOKUP($B25, MARKAH_KRS_KAWAD!$B:$BD, 54, FALSE)/137,0)</f>
        <v>0</v>
      </c>
      <c r="H25" s="22">
        <f>IFERROR(VLOOKUP($B25, MARKAH_KRS_BANTU_MULA!$B:$L, 11, FALSE)/20, 0)
</f>
        <v>0</v>
      </c>
      <c r="I25" s="22">
        <f>IFERROR(VLOOKUP($B25, MARKAH_KRS_IKATAN!$B:$N, 12, FALSE)/25, 0)
</f>
        <v>0</v>
      </c>
      <c r="J25" s="22">
        <f t="shared" si="1"/>
        <v>0</v>
      </c>
      <c r="K25" s="23" t="str">
        <f t="shared" si="2"/>
        <v>GGG</v>
      </c>
    </row>
    <row r="26" ht="30.75" customHeight="1">
      <c r="A26" s="24">
        <v>24.0</v>
      </c>
      <c r="B26" s="24" t="s">
        <v>320</v>
      </c>
      <c r="C26" s="25" t="s">
        <v>322</v>
      </c>
      <c r="D26" s="24" t="s">
        <v>323</v>
      </c>
      <c r="E26" s="24" t="s">
        <v>10</v>
      </c>
      <c r="F26" s="24" t="s">
        <v>11</v>
      </c>
      <c r="G26" s="26">
        <f>IFERROR(VLOOKUP($B26, MARKAH_KRS_KAWAD!$B:$BD, 54, FALSE)/137,0)</f>
        <v>0</v>
      </c>
      <c r="H26" s="26">
        <f>IFERROR(VLOOKUP($B26, MARKAH_KRS_BANTU_MULA!$B:$L, 11, FALSE)/20, 0)
</f>
        <v>0</v>
      </c>
      <c r="I26" s="26">
        <f>IFERROR(VLOOKUP($B26, MARKAH_KRS_IKATAN!$B:$N, 12, FALSE)/25, 0)
</f>
        <v>0</v>
      </c>
      <c r="J26" s="26">
        <f t="shared" si="1"/>
        <v>0</v>
      </c>
      <c r="K26" s="27" t="str">
        <f t="shared" si="2"/>
        <v>GGG</v>
      </c>
    </row>
    <row r="27" ht="30.75" customHeight="1">
      <c r="A27" s="20">
        <v>25.0</v>
      </c>
      <c r="B27" s="20" t="s">
        <v>333</v>
      </c>
      <c r="C27" s="21" t="s">
        <v>335</v>
      </c>
      <c r="D27" s="20" t="s">
        <v>336</v>
      </c>
      <c r="E27" s="20" t="s">
        <v>10</v>
      </c>
      <c r="F27" s="20" t="s">
        <v>11</v>
      </c>
      <c r="G27" s="22">
        <f>IFERROR(VLOOKUP($B27, MARKAH_KRS_KAWAD!$B:$BD, 54, FALSE)/137,0)</f>
        <v>0</v>
      </c>
      <c r="H27" s="22">
        <f>IFERROR(VLOOKUP($B27, MARKAH_KRS_BANTU_MULA!$B:$L, 11, FALSE)/20, 0)
</f>
        <v>0</v>
      </c>
      <c r="I27" s="22">
        <f>IFERROR(VLOOKUP($B27, MARKAH_KRS_IKATAN!$B:$N, 12, FALSE)/25, 0)
</f>
        <v>0</v>
      </c>
      <c r="J27" s="22">
        <f t="shared" si="1"/>
        <v>0</v>
      </c>
      <c r="K27" s="23" t="str">
        <f t="shared" si="2"/>
        <v>GGG</v>
      </c>
    </row>
    <row r="28" ht="30.75" customHeight="1">
      <c r="A28" s="24">
        <v>26.0</v>
      </c>
      <c r="B28" s="24" t="s">
        <v>346</v>
      </c>
      <c r="C28" s="25" t="s">
        <v>348</v>
      </c>
      <c r="D28" s="24" t="s">
        <v>349</v>
      </c>
      <c r="E28" s="24" t="s">
        <v>10</v>
      </c>
      <c r="F28" s="24" t="s">
        <v>38</v>
      </c>
      <c r="G28" s="26">
        <f>IFERROR(VLOOKUP($B28, MARKAH_KRS_KAWAD!$B:$BD, 54, FALSE)/137,0)</f>
        <v>0</v>
      </c>
      <c r="H28" s="26">
        <f>IFERROR(VLOOKUP($B28, MARKAH_KRS_BANTU_MULA!$B:$L, 11, FALSE)/20, 0)
</f>
        <v>0</v>
      </c>
      <c r="I28" s="26">
        <f>IFERROR(VLOOKUP($B28, MARKAH_KRS_IKATAN!$B:$N, 12, FALSE)/25, 0)
</f>
        <v>0</v>
      </c>
      <c r="J28" s="26">
        <f t="shared" si="1"/>
        <v>0</v>
      </c>
      <c r="K28" s="27" t="str">
        <f t="shared" si="2"/>
        <v>GGG</v>
      </c>
    </row>
    <row r="29" ht="30.75" customHeight="1">
      <c r="A29" s="20">
        <v>27.0</v>
      </c>
      <c r="B29" s="20" t="s">
        <v>361</v>
      </c>
      <c r="C29" s="21" t="s">
        <v>362</v>
      </c>
      <c r="D29" s="20" t="s">
        <v>16</v>
      </c>
      <c r="E29" s="20" t="s">
        <v>10</v>
      </c>
      <c r="F29" s="20" t="s">
        <v>11</v>
      </c>
      <c r="G29" s="22">
        <f>IFERROR(VLOOKUP($B29, MARKAH_KRS_KAWAD!$B:$BD, 54, FALSE)/137,0)</f>
        <v>0</v>
      </c>
      <c r="H29" s="22">
        <f>IFERROR(VLOOKUP($B29, MARKAH_KRS_BANTU_MULA!$B:$L, 11, FALSE)/20, 0)
</f>
        <v>0</v>
      </c>
      <c r="I29" s="22">
        <f>IFERROR(VLOOKUP($B29, MARKAH_KRS_IKATAN!$B:$N, 12, FALSE)/25, 0)
</f>
        <v>0</v>
      </c>
      <c r="J29" s="22">
        <f t="shared" si="1"/>
        <v>0</v>
      </c>
      <c r="K29" s="23" t="str">
        <f t="shared" si="2"/>
        <v>GGG</v>
      </c>
    </row>
    <row r="30" ht="30.75" customHeight="1">
      <c r="A30" s="24">
        <v>28.0</v>
      </c>
      <c r="B30" s="24" t="s">
        <v>375</v>
      </c>
      <c r="C30" s="25" t="s">
        <v>377</v>
      </c>
      <c r="D30" s="24" t="s">
        <v>16</v>
      </c>
      <c r="E30" s="24" t="s">
        <v>10</v>
      </c>
      <c r="F30" s="24" t="s">
        <v>11</v>
      </c>
      <c r="G30" s="26">
        <f>IFERROR(VLOOKUP($B30, MARKAH_KRS_KAWAD!$B:$BD, 54, FALSE)/137,0)</f>
        <v>0</v>
      </c>
      <c r="H30" s="26">
        <f>IFERROR(VLOOKUP($B30, MARKAH_KRS_BANTU_MULA!$B:$L, 11, FALSE)/20, 0)
</f>
        <v>0</v>
      </c>
      <c r="I30" s="26">
        <f>IFERROR(VLOOKUP($B30, MARKAH_KRS_IKATAN!$B:$N, 12, FALSE)/25, 0)
</f>
        <v>0</v>
      </c>
      <c r="J30" s="26">
        <f t="shared" si="1"/>
        <v>0</v>
      </c>
      <c r="K30" s="27" t="str">
        <f t="shared" si="2"/>
        <v>GGG</v>
      </c>
    </row>
    <row r="31" ht="30.75" customHeight="1">
      <c r="A31" s="20">
        <v>29.0</v>
      </c>
      <c r="B31" s="20" t="s">
        <v>75</v>
      </c>
      <c r="C31" s="21" t="s">
        <v>385</v>
      </c>
      <c r="D31" s="20" t="s">
        <v>50</v>
      </c>
      <c r="E31" s="20" t="s">
        <v>10</v>
      </c>
      <c r="F31" s="20" t="s">
        <v>11</v>
      </c>
      <c r="G31" s="22">
        <f>IFERROR(VLOOKUP($B31, MARKAH_KRS_KAWAD!$B:$BD, 54, FALSE)/137,0)</f>
        <v>0</v>
      </c>
      <c r="H31" s="22">
        <f>IFERROR(VLOOKUP($B31, MARKAH_KRS_BANTU_MULA!$B:$L, 11, FALSE)/20, 0)
</f>
        <v>0</v>
      </c>
      <c r="I31" s="22">
        <f>IFERROR(VLOOKUP($B31, MARKAH_KRS_IKATAN!$B:$N, 12, FALSE)/25, 0)
</f>
        <v>0</v>
      </c>
      <c r="J31" s="22">
        <f t="shared" si="1"/>
        <v>0</v>
      </c>
      <c r="K31" s="23" t="str">
        <f t="shared" si="2"/>
        <v>GGG</v>
      </c>
    </row>
    <row r="32" ht="30.75" customHeight="1">
      <c r="A32" s="24">
        <v>30.0</v>
      </c>
      <c r="B32" s="24" t="s">
        <v>77</v>
      </c>
      <c r="C32" s="25" t="s">
        <v>395</v>
      </c>
      <c r="D32" s="24" t="s">
        <v>397</v>
      </c>
      <c r="E32" s="24" t="s">
        <v>10</v>
      </c>
      <c r="F32" s="24" t="s">
        <v>11</v>
      </c>
      <c r="G32" s="26">
        <f>IFERROR(VLOOKUP($B32, MARKAH_KRS_KAWAD!$B:$BD, 54, FALSE)/137,0)</f>
        <v>0</v>
      </c>
      <c r="H32" s="26">
        <f>IFERROR(VLOOKUP($B32, MARKAH_KRS_BANTU_MULA!$B:$L, 11, FALSE)/20, 0)
</f>
        <v>0</v>
      </c>
      <c r="I32" s="26">
        <f>IFERROR(VLOOKUP($B32, MARKAH_KRS_IKATAN!$B:$N, 12, FALSE)/25, 0)
</f>
        <v>0</v>
      </c>
      <c r="J32" s="26">
        <f t="shared" si="1"/>
        <v>0</v>
      </c>
      <c r="K32" s="27" t="str">
        <f t="shared" si="2"/>
        <v>GGG</v>
      </c>
    </row>
    <row r="33" ht="30.75" customHeight="1">
      <c r="A33" s="20">
        <v>31.0</v>
      </c>
      <c r="B33" s="20" t="s">
        <v>79</v>
      </c>
      <c r="C33" s="21" t="s">
        <v>406</v>
      </c>
      <c r="D33" s="20" t="s">
        <v>82</v>
      </c>
      <c r="E33" s="20" t="s">
        <v>10</v>
      </c>
      <c r="F33" s="20" t="s">
        <v>11</v>
      </c>
      <c r="G33" s="22">
        <f>IFERROR(VLOOKUP($B33, MARKAH_KRS_KAWAD!$B:$BD, 54, FALSE)/137,0)</f>
        <v>0</v>
      </c>
      <c r="H33" s="22">
        <f>IFERROR(VLOOKUP($B33, MARKAH_KRS_BANTU_MULA!$B:$L, 11, FALSE)/20, 0)
</f>
        <v>0</v>
      </c>
      <c r="I33" s="22">
        <f>IFERROR(VLOOKUP($B33, MARKAH_KRS_IKATAN!$B:$N, 12, FALSE)/25, 0)
</f>
        <v>0</v>
      </c>
      <c r="J33" s="22">
        <f t="shared" si="1"/>
        <v>0</v>
      </c>
      <c r="K33" s="23" t="str">
        <f t="shared" si="2"/>
        <v>GGG</v>
      </c>
    </row>
    <row r="34" ht="30.75" customHeight="1">
      <c r="A34" s="24">
        <v>32.0</v>
      </c>
      <c r="B34" s="24" t="s">
        <v>83</v>
      </c>
      <c r="C34" s="25" t="s">
        <v>414</v>
      </c>
      <c r="D34" s="24" t="s">
        <v>92</v>
      </c>
      <c r="E34" s="24" t="s">
        <v>10</v>
      </c>
      <c r="F34" s="24" t="s">
        <v>11</v>
      </c>
      <c r="G34" s="26">
        <f>IFERROR(VLOOKUP($B34, MARKAH_KRS_KAWAD!$B:$BD, 54, FALSE)/137,0)</f>
        <v>0</v>
      </c>
      <c r="H34" s="26">
        <f>IFERROR(VLOOKUP($B34, MARKAH_KRS_BANTU_MULA!$B:$L, 11, FALSE)/20, 0)
</f>
        <v>0</v>
      </c>
      <c r="I34" s="26">
        <f>IFERROR(VLOOKUP($B34, MARKAH_KRS_IKATAN!$B:$N, 12, FALSE)/25, 0)
</f>
        <v>0</v>
      </c>
      <c r="J34" s="26">
        <f t="shared" si="1"/>
        <v>0</v>
      </c>
      <c r="K34" s="27" t="str">
        <f t="shared" si="2"/>
        <v>GGG</v>
      </c>
    </row>
    <row r="35" ht="30.75" customHeight="1">
      <c r="A35" s="20">
        <v>33.0</v>
      </c>
      <c r="B35" s="20" t="s">
        <v>85</v>
      </c>
      <c r="C35" s="21" t="s">
        <v>424</v>
      </c>
      <c r="D35" s="20" t="s">
        <v>100</v>
      </c>
      <c r="E35" s="20" t="s">
        <v>10</v>
      </c>
      <c r="F35" s="20" t="s">
        <v>11</v>
      </c>
      <c r="G35" s="22">
        <f>IFERROR(VLOOKUP($B35, MARKAH_KRS_KAWAD!$B:$BD, 54, FALSE)/137,0)</f>
        <v>0</v>
      </c>
      <c r="H35" s="22">
        <f>IFERROR(VLOOKUP($B35, MARKAH_KRS_BANTU_MULA!$B:$L, 11, FALSE)/20, 0)
</f>
        <v>0</v>
      </c>
      <c r="I35" s="22">
        <f>IFERROR(VLOOKUP($B35, MARKAH_KRS_IKATAN!$B:$N, 12, FALSE)/25, 0)
</f>
        <v>0</v>
      </c>
      <c r="J35" s="22">
        <f t="shared" si="1"/>
        <v>0</v>
      </c>
      <c r="K35" s="23" t="str">
        <f t="shared" si="2"/>
        <v>GGG</v>
      </c>
    </row>
    <row r="36" ht="30.75" customHeight="1">
      <c r="A36" s="24">
        <v>34.0</v>
      </c>
      <c r="B36" s="24" t="s">
        <v>88</v>
      </c>
      <c r="C36" s="25" t="s">
        <v>434</v>
      </c>
      <c r="D36" s="24" t="s">
        <v>435</v>
      </c>
      <c r="E36" s="24" t="s">
        <v>10</v>
      </c>
      <c r="F36" s="24" t="s">
        <v>11</v>
      </c>
      <c r="G36" s="26">
        <f>IFERROR(VLOOKUP($B36, MARKAH_KRS_KAWAD!$B:$BD, 54, FALSE)/137,0)</f>
        <v>0</v>
      </c>
      <c r="H36" s="26">
        <f>IFERROR(VLOOKUP($B36, MARKAH_KRS_BANTU_MULA!$B:$L, 11, FALSE)/20, 0)
</f>
        <v>0</v>
      </c>
      <c r="I36" s="26">
        <f>IFERROR(VLOOKUP($B36, MARKAH_KRS_IKATAN!$B:$N, 12, FALSE)/25, 0)
</f>
        <v>0</v>
      </c>
      <c r="J36" s="26">
        <f t="shared" si="1"/>
        <v>0</v>
      </c>
      <c r="K36" s="27" t="str">
        <f t="shared" si="2"/>
        <v>GGG</v>
      </c>
    </row>
    <row r="37" ht="30.75" customHeight="1">
      <c r="A37" s="20">
        <v>35.0</v>
      </c>
      <c r="B37" s="20" t="s">
        <v>91</v>
      </c>
      <c r="C37" s="21" t="s">
        <v>443</v>
      </c>
      <c r="D37" s="20" t="s">
        <v>59</v>
      </c>
      <c r="E37" s="20" t="s">
        <v>10</v>
      </c>
      <c r="F37" s="20" t="s">
        <v>38</v>
      </c>
      <c r="G37" s="22">
        <f>IFERROR(VLOOKUP($B37, MARKAH_KRS_KAWAD!$B:$BD, 54, FALSE)/137,0)</f>
        <v>0</v>
      </c>
      <c r="H37" s="22">
        <f>IFERROR(VLOOKUP($B37, MARKAH_KRS_BANTU_MULA!$B:$L, 11, FALSE)/20, 0)
</f>
        <v>0</v>
      </c>
      <c r="I37" s="22">
        <f>IFERROR(VLOOKUP($B37, MARKAH_KRS_IKATAN!$B:$N, 12, FALSE)/25, 0)
</f>
        <v>0</v>
      </c>
      <c r="J37" s="22">
        <f t="shared" si="1"/>
        <v>0</v>
      </c>
      <c r="K37" s="23" t="str">
        <f t="shared" si="2"/>
        <v>GGG</v>
      </c>
    </row>
    <row r="38" ht="30.75" customHeight="1">
      <c r="A38" s="24">
        <v>36.0</v>
      </c>
      <c r="B38" s="24" t="s">
        <v>94</v>
      </c>
      <c r="C38" s="25" t="s">
        <v>451</v>
      </c>
      <c r="D38" s="24" t="s">
        <v>27</v>
      </c>
      <c r="E38" s="24" t="s">
        <v>10</v>
      </c>
      <c r="F38" s="24" t="s">
        <v>11</v>
      </c>
      <c r="G38" s="26">
        <f>IFERROR(VLOOKUP($B38, MARKAH_KRS_KAWAD!$B:$BD, 54, FALSE)/137,0)</f>
        <v>0</v>
      </c>
      <c r="H38" s="26">
        <f>IFERROR(VLOOKUP($B38, MARKAH_KRS_BANTU_MULA!$B:$L, 11, FALSE)/20, 0)
</f>
        <v>0</v>
      </c>
      <c r="I38" s="26">
        <f>IFERROR(VLOOKUP($B38, MARKAH_KRS_IKATAN!$B:$N, 12, FALSE)/25, 0)
</f>
        <v>0</v>
      </c>
      <c r="J38" s="26">
        <f t="shared" si="1"/>
        <v>0</v>
      </c>
      <c r="K38" s="27" t="str">
        <f t="shared" si="2"/>
        <v>GGG</v>
      </c>
    </row>
    <row r="39" ht="30.75" customHeight="1">
      <c r="A39" s="20">
        <v>37.0</v>
      </c>
      <c r="B39" s="20" t="s">
        <v>459</v>
      </c>
      <c r="C39" s="21" t="s">
        <v>460</v>
      </c>
      <c r="D39" s="20" t="s">
        <v>27</v>
      </c>
      <c r="E39" s="20" t="s">
        <v>10</v>
      </c>
      <c r="F39" s="20" t="s">
        <v>11</v>
      </c>
      <c r="G39" s="22">
        <f>IFERROR(VLOOKUP($B39, MARKAH_KRS_KAWAD!$B:$BD, 54, FALSE)/137,0)</f>
        <v>0</v>
      </c>
      <c r="H39" s="22">
        <f>IFERROR(VLOOKUP($B39, MARKAH_KRS_BANTU_MULA!$B:$L, 11, FALSE)/20, 0)
</f>
        <v>0</v>
      </c>
      <c r="I39" s="22">
        <f>IFERROR(VLOOKUP($B39, MARKAH_KRS_IKATAN!$B:$N, 12, FALSE)/25, 0)
</f>
        <v>0</v>
      </c>
      <c r="J39" s="22">
        <f t="shared" si="1"/>
        <v>0</v>
      </c>
      <c r="K39" s="23" t="str">
        <f t="shared" si="2"/>
        <v>GGG</v>
      </c>
    </row>
    <row r="40" ht="30.75" customHeight="1">
      <c r="A40" s="24">
        <v>38.0</v>
      </c>
      <c r="B40" s="24" t="s">
        <v>96</v>
      </c>
      <c r="C40" s="25" t="s">
        <v>461</v>
      </c>
      <c r="D40" s="24" t="s">
        <v>27</v>
      </c>
      <c r="E40" s="24" t="s">
        <v>10</v>
      </c>
      <c r="F40" s="24" t="s">
        <v>11</v>
      </c>
      <c r="G40" s="26">
        <f>IFERROR(VLOOKUP($B40, MARKAH_KRS_KAWAD!$B:$BD, 54, FALSE)/137,0)</f>
        <v>0</v>
      </c>
      <c r="H40" s="26">
        <f>IFERROR(VLOOKUP($B40, MARKAH_KRS_BANTU_MULA!$B:$L, 11, FALSE)/20, 0)
</f>
        <v>0</v>
      </c>
      <c r="I40" s="26">
        <f>IFERROR(VLOOKUP($B40, MARKAH_KRS_IKATAN!$B:$N, 12, FALSE)/25, 0)
</f>
        <v>0</v>
      </c>
      <c r="J40" s="26">
        <f t="shared" si="1"/>
        <v>0</v>
      </c>
      <c r="K40" s="27" t="str">
        <f t="shared" si="2"/>
        <v>GGG</v>
      </c>
    </row>
    <row r="41" ht="30.75" customHeight="1">
      <c r="A41" s="20">
        <v>39.0</v>
      </c>
      <c r="B41" s="20" t="s">
        <v>99</v>
      </c>
      <c r="C41" s="21" t="s">
        <v>464</v>
      </c>
      <c r="D41" s="20" t="s">
        <v>27</v>
      </c>
      <c r="E41" s="20" t="s">
        <v>10</v>
      </c>
      <c r="F41" s="20" t="s">
        <v>11</v>
      </c>
      <c r="G41" s="22">
        <f>IFERROR(VLOOKUP($B41, MARKAH_KRS_KAWAD!$B:$BD, 54, FALSE)/137,0)</f>
        <v>0</v>
      </c>
      <c r="H41" s="22">
        <f>IFERROR(VLOOKUP($B41, MARKAH_KRS_BANTU_MULA!$B:$L, 11, FALSE)/20, 0)
</f>
        <v>0</v>
      </c>
      <c r="I41" s="22">
        <f>IFERROR(VLOOKUP($B41, MARKAH_KRS_IKATAN!$B:$N, 12, FALSE)/25, 0)
</f>
        <v>0</v>
      </c>
      <c r="J41" s="22">
        <f t="shared" si="1"/>
        <v>0</v>
      </c>
      <c r="K41" s="23" t="str">
        <f t="shared" si="2"/>
        <v>GGG</v>
      </c>
    </row>
    <row r="42" ht="30.75" customHeight="1">
      <c r="A42" s="24">
        <v>40.0</v>
      </c>
      <c r="B42" s="24" t="s">
        <v>102</v>
      </c>
      <c r="C42" s="25" t="s">
        <v>467</v>
      </c>
      <c r="D42" s="24" t="s">
        <v>27</v>
      </c>
      <c r="E42" s="24" t="s">
        <v>10</v>
      </c>
      <c r="F42" s="24" t="s">
        <v>11</v>
      </c>
      <c r="G42" s="26">
        <f>IFERROR(VLOOKUP($B42, MARKAH_KRS_KAWAD!$B:$BD, 54, FALSE)/137,0)</f>
        <v>0</v>
      </c>
      <c r="H42" s="26">
        <f>IFERROR(VLOOKUP($B42, MARKAH_KRS_BANTU_MULA!$B:$L, 11, FALSE)/20, 0)
</f>
        <v>0</v>
      </c>
      <c r="I42" s="26">
        <f>IFERROR(VLOOKUP($B42, MARKAH_KRS_IKATAN!$B:$N, 12, FALSE)/25, 0)
</f>
        <v>0</v>
      </c>
      <c r="J42" s="26">
        <f t="shared" si="1"/>
        <v>0</v>
      </c>
      <c r="K42" s="27" t="str">
        <f t="shared" si="2"/>
        <v>GGG</v>
      </c>
    </row>
    <row r="43" ht="30.75" customHeight="1">
      <c r="A43" s="20">
        <v>41.0</v>
      </c>
      <c r="B43" s="20" t="s">
        <v>104</v>
      </c>
      <c r="C43" s="21" t="s">
        <v>472</v>
      </c>
      <c r="D43" s="20" t="s">
        <v>146</v>
      </c>
      <c r="E43" s="20" t="s">
        <v>10</v>
      </c>
      <c r="F43" s="20" t="s">
        <v>11</v>
      </c>
      <c r="G43" s="22">
        <f>IFERROR(VLOOKUP($B43, MARKAH_KRS_KAWAD!$B:$BD, 54, FALSE)/137,0)</f>
        <v>0</v>
      </c>
      <c r="H43" s="22">
        <f>IFERROR(VLOOKUP($B43, MARKAH_KRS_BANTU_MULA!$B:$L, 11, FALSE)/20, 0)
</f>
        <v>0</v>
      </c>
      <c r="I43" s="22">
        <f>IFERROR(VLOOKUP($B43, MARKAH_KRS_IKATAN!$B:$N, 12, FALSE)/25, 0)
</f>
        <v>0</v>
      </c>
      <c r="J43" s="22">
        <f t="shared" si="1"/>
        <v>0</v>
      </c>
      <c r="K43" s="23" t="str">
        <f t="shared" si="2"/>
        <v>GGG</v>
      </c>
    </row>
    <row r="44" ht="30.75" customHeight="1">
      <c r="A44" s="24">
        <v>42.0</v>
      </c>
      <c r="B44" s="24" t="s">
        <v>108</v>
      </c>
      <c r="C44" s="25" t="s">
        <v>475</v>
      </c>
      <c r="D44" s="24" t="s">
        <v>203</v>
      </c>
      <c r="E44" s="24" t="s">
        <v>10</v>
      </c>
      <c r="F44" s="24" t="s">
        <v>11</v>
      </c>
      <c r="G44" s="26">
        <f>IFERROR(VLOOKUP($B44, MARKAH_KRS_KAWAD!$B:$BD, 54, FALSE)/137,0)</f>
        <v>0</v>
      </c>
      <c r="H44" s="26">
        <f>IFERROR(VLOOKUP($B44, MARKAH_KRS_BANTU_MULA!$B:$L, 11, FALSE)/20, 0)
</f>
        <v>0</v>
      </c>
      <c r="I44" s="26">
        <f>IFERROR(VLOOKUP($B44, MARKAH_KRS_IKATAN!$B:$N, 12, FALSE)/25, 0)
</f>
        <v>0</v>
      </c>
      <c r="J44" s="26">
        <f t="shared" si="1"/>
        <v>0</v>
      </c>
      <c r="K44" s="27" t="str">
        <f t="shared" si="2"/>
        <v>GGG</v>
      </c>
    </row>
    <row r="45" ht="30.75" customHeight="1">
      <c r="A45" s="20">
        <v>43.0</v>
      </c>
      <c r="B45" s="20" t="s">
        <v>111</v>
      </c>
      <c r="C45" s="21" t="s">
        <v>476</v>
      </c>
      <c r="D45" s="20" t="s">
        <v>166</v>
      </c>
      <c r="E45" s="20" t="s">
        <v>10</v>
      </c>
      <c r="F45" s="20" t="s">
        <v>38</v>
      </c>
      <c r="G45" s="22">
        <f>IFERROR(VLOOKUP($B45, MARKAH_KRS_KAWAD!$B:$BD, 54, FALSE)/137,0)</f>
        <v>0</v>
      </c>
      <c r="H45" s="22">
        <f>IFERROR(VLOOKUP($B45, MARKAH_KRS_BANTU_MULA!$B:$L, 11, FALSE)/20, 0)
</f>
        <v>0</v>
      </c>
      <c r="I45" s="22">
        <f>IFERROR(VLOOKUP($B45, MARKAH_KRS_IKATAN!$B:$N, 12, FALSE)/25, 0)
</f>
        <v>0</v>
      </c>
      <c r="J45" s="22">
        <f t="shared" si="1"/>
        <v>0</v>
      </c>
      <c r="K45" s="23" t="str">
        <f t="shared" si="2"/>
        <v>GGG</v>
      </c>
    </row>
    <row r="46" ht="30.75" customHeight="1">
      <c r="A46" s="24">
        <v>44.0</v>
      </c>
      <c r="B46" s="24" t="s">
        <v>113</v>
      </c>
      <c r="C46" s="25" t="s">
        <v>479</v>
      </c>
      <c r="D46" s="24" t="s">
        <v>226</v>
      </c>
      <c r="E46" s="24" t="s">
        <v>10</v>
      </c>
      <c r="F46" s="24" t="s">
        <v>11</v>
      </c>
      <c r="G46" s="26">
        <f>IFERROR(VLOOKUP($B46, MARKAH_KRS_KAWAD!$B:$BD, 54, FALSE)/137,0)</f>
        <v>0</v>
      </c>
      <c r="H46" s="26">
        <f>IFERROR(VLOOKUP($B46, MARKAH_KRS_BANTU_MULA!$B:$L, 11, FALSE)/20, 0)
</f>
        <v>0</v>
      </c>
      <c r="I46" s="26">
        <f>IFERROR(VLOOKUP($B46, MARKAH_KRS_IKATAN!$B:$N, 12, FALSE)/25, 0)
</f>
        <v>0</v>
      </c>
      <c r="J46" s="26">
        <f t="shared" si="1"/>
        <v>0</v>
      </c>
      <c r="K46" s="27" t="str">
        <f t="shared" si="2"/>
        <v>GGG</v>
      </c>
    </row>
    <row r="47" ht="30.75" customHeight="1">
      <c r="A47" s="20">
        <v>45.0</v>
      </c>
      <c r="B47" s="20" t="s">
        <v>115</v>
      </c>
      <c r="C47" s="21" t="s">
        <v>480</v>
      </c>
      <c r="D47" s="20" t="s">
        <v>238</v>
      </c>
      <c r="E47" s="20" t="s">
        <v>10</v>
      </c>
      <c r="F47" s="20" t="s">
        <v>11</v>
      </c>
      <c r="G47" s="22">
        <f>IFERROR(VLOOKUP($B47, MARKAH_KRS_KAWAD!$B:$BD, 54, FALSE)/137,0)</f>
        <v>0</v>
      </c>
      <c r="H47" s="22">
        <f>IFERROR(VLOOKUP($B47, MARKAH_KRS_BANTU_MULA!$B:$L, 11, FALSE)/20, 0)
</f>
        <v>0</v>
      </c>
      <c r="I47" s="22">
        <f>IFERROR(VLOOKUP($B47, MARKAH_KRS_IKATAN!$B:$N, 12, FALSE)/25, 0)
</f>
        <v>0</v>
      </c>
      <c r="J47" s="22">
        <f t="shared" si="1"/>
        <v>0</v>
      </c>
      <c r="K47" s="23" t="str">
        <f t="shared" si="2"/>
        <v>GGG</v>
      </c>
    </row>
    <row r="48" ht="30.75" customHeight="1">
      <c r="A48" s="24">
        <v>46.0</v>
      </c>
      <c r="B48" s="24" t="s">
        <v>121</v>
      </c>
      <c r="C48" s="25" t="s">
        <v>481</v>
      </c>
      <c r="D48" s="24" t="s">
        <v>48</v>
      </c>
      <c r="E48" s="24" t="s">
        <v>10</v>
      </c>
      <c r="F48" s="24" t="s">
        <v>11</v>
      </c>
      <c r="G48" s="26">
        <f>IFERROR(VLOOKUP($B48, MARKAH_KRS_KAWAD!$B:$BD, 54, FALSE)/137,0)</f>
        <v>0</v>
      </c>
      <c r="H48" s="26">
        <f>IFERROR(VLOOKUP($B48, MARKAH_KRS_BANTU_MULA!$B:$L, 11, FALSE)/20, 0)
</f>
        <v>0</v>
      </c>
      <c r="I48" s="26">
        <f>IFERROR(VLOOKUP($B48, MARKAH_KRS_IKATAN!$B:$N, 12, FALSE)/25, 0)
</f>
        <v>0</v>
      </c>
      <c r="J48" s="26">
        <f t="shared" si="1"/>
        <v>0</v>
      </c>
      <c r="K48" s="27" t="str">
        <f t="shared" si="2"/>
        <v>GGG</v>
      </c>
    </row>
    <row r="49" ht="30.75" customHeight="1">
      <c r="A49" s="20">
        <v>47.0</v>
      </c>
      <c r="B49" s="20" t="s">
        <v>123</v>
      </c>
      <c r="C49" s="21" t="s">
        <v>482</v>
      </c>
      <c r="D49" s="20" t="s">
        <v>48</v>
      </c>
      <c r="E49" s="20" t="s">
        <v>10</v>
      </c>
      <c r="F49" s="20" t="s">
        <v>11</v>
      </c>
      <c r="G49" s="22">
        <f>IFERROR(VLOOKUP($B49, MARKAH_KRS_KAWAD!$B:$BD, 54, FALSE)/137,0)</f>
        <v>0</v>
      </c>
      <c r="H49" s="22">
        <f>IFERROR(VLOOKUP($B49, MARKAH_KRS_BANTU_MULA!$B:$L, 11, FALSE)/20, 0)
</f>
        <v>0</v>
      </c>
      <c r="I49" s="22">
        <f>IFERROR(VLOOKUP($B49, MARKAH_KRS_IKATAN!$B:$N, 12, FALSE)/25, 0)
</f>
        <v>0</v>
      </c>
      <c r="J49" s="22">
        <f t="shared" si="1"/>
        <v>0</v>
      </c>
      <c r="K49" s="23" t="str">
        <f t="shared" si="2"/>
        <v>GGG</v>
      </c>
    </row>
    <row r="50" ht="30.75" customHeight="1">
      <c r="A50" s="24">
        <v>48.0</v>
      </c>
      <c r="B50" s="24" t="s">
        <v>127</v>
      </c>
      <c r="C50" s="25" t="s">
        <v>484</v>
      </c>
      <c r="D50" s="24" t="s">
        <v>48</v>
      </c>
      <c r="E50" s="24" t="s">
        <v>10</v>
      </c>
      <c r="F50" s="24" t="s">
        <v>11</v>
      </c>
      <c r="G50" s="26">
        <f>IFERROR(VLOOKUP($B50, MARKAH_KRS_KAWAD!$B:$BD, 54, FALSE)/137,0)</f>
        <v>0</v>
      </c>
      <c r="H50" s="26">
        <f>IFERROR(VLOOKUP($B50, MARKAH_KRS_BANTU_MULA!$B:$L, 11, FALSE)/20, 0)
</f>
        <v>0</v>
      </c>
      <c r="I50" s="26">
        <f>IFERROR(VLOOKUP($B50, MARKAH_KRS_IKATAN!$B:$N, 12, FALSE)/25, 0)
</f>
        <v>0</v>
      </c>
      <c r="J50" s="26">
        <f t="shared" si="1"/>
        <v>0</v>
      </c>
      <c r="K50" s="27" t="str">
        <f t="shared" si="2"/>
        <v>GGG</v>
      </c>
    </row>
    <row r="51" ht="30.75" customHeight="1">
      <c r="A51" s="20">
        <v>49.0</v>
      </c>
      <c r="B51" s="20" t="s">
        <v>131</v>
      </c>
      <c r="C51" s="21" t="s">
        <v>490</v>
      </c>
      <c r="D51" s="20" t="s">
        <v>48</v>
      </c>
      <c r="E51" s="20" t="s">
        <v>10</v>
      </c>
      <c r="F51" s="20" t="s">
        <v>11</v>
      </c>
      <c r="G51" s="22">
        <f>IFERROR(VLOOKUP($B51, MARKAH_KRS_KAWAD!$B:$BD, 54, FALSE)/137,0)</f>
        <v>0</v>
      </c>
      <c r="H51" s="22">
        <f>IFERROR(VLOOKUP($B51, MARKAH_KRS_BANTU_MULA!$B:$L, 11, FALSE)/20, 0)
</f>
        <v>0</v>
      </c>
      <c r="I51" s="22">
        <f>IFERROR(VLOOKUP($B51, MARKAH_KRS_IKATAN!$B:$N, 12, FALSE)/25, 0)
</f>
        <v>0</v>
      </c>
      <c r="J51" s="22">
        <f t="shared" si="1"/>
        <v>0</v>
      </c>
      <c r="K51" s="23" t="str">
        <f t="shared" si="2"/>
        <v>GGG</v>
      </c>
    </row>
    <row r="52" ht="30.75" customHeight="1">
      <c r="A52" s="24">
        <v>50.0</v>
      </c>
      <c r="B52" s="24" t="s">
        <v>134</v>
      </c>
      <c r="C52" s="25" t="s">
        <v>495</v>
      </c>
      <c r="D52" s="24" t="s">
        <v>48</v>
      </c>
      <c r="E52" s="24" t="s">
        <v>10</v>
      </c>
      <c r="F52" s="24" t="s">
        <v>11</v>
      </c>
      <c r="G52" s="26">
        <f>IFERROR(VLOOKUP($B52, MARKAH_KRS_KAWAD!$B:$BD, 54, FALSE)/137,0)</f>
        <v>0</v>
      </c>
      <c r="H52" s="26">
        <f>IFERROR(VLOOKUP($B52, MARKAH_KRS_BANTU_MULA!$B:$L, 11, FALSE)/20, 0)
</f>
        <v>0</v>
      </c>
      <c r="I52" s="26">
        <f>IFERROR(VLOOKUP($B52, MARKAH_KRS_IKATAN!$B:$N, 12, FALSE)/25, 0)
</f>
        <v>0</v>
      </c>
      <c r="J52" s="26">
        <f t="shared" si="1"/>
        <v>0</v>
      </c>
      <c r="K52" s="27" t="str">
        <f t="shared" si="2"/>
        <v>GGG</v>
      </c>
    </row>
    <row r="53" ht="30.75" customHeight="1">
      <c r="A53" s="20">
        <v>51.0</v>
      </c>
      <c r="B53" s="20" t="s">
        <v>497</v>
      </c>
      <c r="C53" s="21" t="s">
        <v>499</v>
      </c>
      <c r="D53" s="20" t="s">
        <v>309</v>
      </c>
      <c r="E53" s="20" t="s">
        <v>10</v>
      </c>
      <c r="F53" s="20" t="s">
        <v>11</v>
      </c>
      <c r="G53" s="22">
        <f>IFERROR(VLOOKUP($B53, MARKAH_KRS_KAWAD!$B:$BD, 54, FALSE)/137,0)</f>
        <v>0</v>
      </c>
      <c r="H53" s="22">
        <f>IFERROR(VLOOKUP($B53, MARKAH_KRS_BANTU_MULA!$B:$L, 11, FALSE)/20, 0)
</f>
        <v>0</v>
      </c>
      <c r="I53" s="22">
        <f>IFERROR(VLOOKUP($B53, MARKAH_KRS_IKATAN!$B:$N, 12, FALSE)/25, 0)
</f>
        <v>0</v>
      </c>
      <c r="J53" s="22">
        <f t="shared" si="1"/>
        <v>0</v>
      </c>
      <c r="K53" s="23" t="str">
        <f t="shared" si="2"/>
        <v>GGG</v>
      </c>
    </row>
    <row r="54" ht="30.75" customHeight="1">
      <c r="A54" s="24">
        <v>52.0</v>
      </c>
      <c r="B54" s="24" t="s">
        <v>504</v>
      </c>
      <c r="C54" s="25" t="s">
        <v>505</v>
      </c>
      <c r="D54" s="24" t="s">
        <v>21</v>
      </c>
      <c r="E54" s="24" t="s">
        <v>10</v>
      </c>
      <c r="F54" s="24" t="s">
        <v>11</v>
      </c>
      <c r="G54" s="26">
        <f>IFERROR(VLOOKUP($B54, MARKAH_KRS_KAWAD!$B:$BD, 54, FALSE)/137,0)</f>
        <v>0</v>
      </c>
      <c r="H54" s="26">
        <f>IFERROR(VLOOKUP($B54, MARKAH_KRS_BANTU_MULA!$B:$L, 11, FALSE)/20, 0)
</f>
        <v>0</v>
      </c>
      <c r="I54" s="26">
        <f>IFERROR(VLOOKUP($B54, MARKAH_KRS_IKATAN!$B:$N, 12, FALSE)/25, 0)
</f>
        <v>0</v>
      </c>
      <c r="J54" s="26">
        <f t="shared" si="1"/>
        <v>0</v>
      </c>
      <c r="K54" s="27" t="str">
        <f t="shared" si="2"/>
        <v>GGG</v>
      </c>
    </row>
    <row r="55" ht="30.75" customHeight="1">
      <c r="A55" s="20">
        <v>53.0</v>
      </c>
      <c r="B55" s="20" t="s">
        <v>510</v>
      </c>
      <c r="C55" s="21" t="s">
        <v>511</v>
      </c>
      <c r="D55" s="20" t="s">
        <v>336</v>
      </c>
      <c r="E55" s="20" t="s">
        <v>10</v>
      </c>
      <c r="F55" s="20" t="s">
        <v>11</v>
      </c>
      <c r="G55" s="22">
        <f>IFERROR(VLOOKUP($B55, MARKAH_KRS_KAWAD!$B:$BD, 54, FALSE)/137,0)</f>
        <v>0</v>
      </c>
      <c r="H55" s="22">
        <f>IFERROR(VLOOKUP($B55, MARKAH_KRS_BANTU_MULA!$B:$L, 11, FALSE)/20, 0)
</f>
        <v>0</v>
      </c>
      <c r="I55" s="22">
        <f>IFERROR(VLOOKUP($B55, MARKAH_KRS_IKATAN!$B:$N, 12, FALSE)/25, 0)
</f>
        <v>0</v>
      </c>
      <c r="J55" s="22">
        <f t="shared" si="1"/>
        <v>0</v>
      </c>
      <c r="K55" s="23" t="str">
        <f t="shared" si="2"/>
        <v>GGG</v>
      </c>
    </row>
    <row r="56" ht="30.75" customHeight="1">
      <c r="A56" s="24">
        <v>54.0</v>
      </c>
      <c r="B56" s="24" t="s">
        <v>516</v>
      </c>
      <c r="C56" s="25" t="s">
        <v>517</v>
      </c>
      <c r="D56" s="24" t="s">
        <v>16</v>
      </c>
      <c r="E56" s="24" t="s">
        <v>10</v>
      </c>
      <c r="F56" s="24" t="s">
        <v>11</v>
      </c>
      <c r="G56" s="26">
        <f>IFERROR(VLOOKUP($B56, MARKAH_KRS_KAWAD!$B:$BD, 54, FALSE)/137,0)</f>
        <v>0</v>
      </c>
      <c r="H56" s="26">
        <f>IFERROR(VLOOKUP($B56, MARKAH_KRS_BANTU_MULA!$B:$L, 11, FALSE)/20, 0)
</f>
        <v>0</v>
      </c>
      <c r="I56" s="26">
        <f>IFERROR(VLOOKUP($B56, MARKAH_KRS_IKATAN!$B:$N, 12, FALSE)/25, 0)
</f>
        <v>0</v>
      </c>
      <c r="J56" s="26">
        <f t="shared" si="1"/>
        <v>0</v>
      </c>
      <c r="K56" s="27" t="str">
        <f t="shared" si="2"/>
        <v>GGG</v>
      </c>
    </row>
    <row r="57" ht="30.75" customHeight="1">
      <c r="A57" s="20">
        <v>55.0</v>
      </c>
      <c r="B57" s="20" t="s">
        <v>522</v>
      </c>
      <c r="C57" s="21" t="s">
        <v>523</v>
      </c>
      <c r="D57" s="20" t="s">
        <v>16</v>
      </c>
      <c r="E57" s="20" t="s">
        <v>10</v>
      </c>
      <c r="F57" s="20" t="s">
        <v>11</v>
      </c>
      <c r="G57" s="22">
        <f>IFERROR(VLOOKUP($B57, MARKAH_KRS_KAWAD!$B:$BD, 54, FALSE)/137,0)</f>
        <v>0</v>
      </c>
      <c r="H57" s="22">
        <f>IFERROR(VLOOKUP($B57, MARKAH_KRS_BANTU_MULA!$B:$L, 11, FALSE)/20, 0)
</f>
        <v>0</v>
      </c>
      <c r="I57" s="22">
        <f>IFERROR(VLOOKUP($B57, MARKAH_KRS_IKATAN!$B:$N, 12, FALSE)/25, 0)
</f>
        <v>0</v>
      </c>
      <c r="J57" s="22">
        <f t="shared" si="1"/>
        <v>0</v>
      </c>
      <c r="K57" s="23" t="str">
        <f t="shared" si="2"/>
        <v>GGG</v>
      </c>
    </row>
    <row r="58" ht="30.75" customHeight="1">
      <c r="A58" s="24">
        <v>56.0</v>
      </c>
      <c r="B58" s="24" t="s">
        <v>526</v>
      </c>
      <c r="C58" s="25" t="s">
        <v>527</v>
      </c>
      <c r="D58" s="24" t="s">
        <v>72</v>
      </c>
      <c r="E58" s="24" t="s">
        <v>10</v>
      </c>
      <c r="F58" s="24" t="s">
        <v>11</v>
      </c>
      <c r="G58" s="26">
        <f>IFERROR(VLOOKUP($B58, MARKAH_KRS_KAWAD!$B:$BD, 54, FALSE)/137,0)</f>
        <v>0</v>
      </c>
      <c r="H58" s="26">
        <f>IFERROR(VLOOKUP($B58, MARKAH_KRS_BANTU_MULA!$B:$L, 11, FALSE)/20, 0)
</f>
        <v>0</v>
      </c>
      <c r="I58" s="26">
        <f>IFERROR(VLOOKUP($B58, MARKAH_KRS_IKATAN!$B:$N, 12, FALSE)/25, 0)
</f>
        <v>0</v>
      </c>
      <c r="J58" s="26">
        <f t="shared" si="1"/>
        <v>0</v>
      </c>
      <c r="K58" s="27" t="str">
        <f t="shared" si="2"/>
        <v>GGG</v>
      </c>
    </row>
    <row r="59" ht="30.75" customHeight="1">
      <c r="A59" s="20">
        <v>57.0</v>
      </c>
      <c r="B59" s="20" t="s">
        <v>532</v>
      </c>
      <c r="C59" s="21" t="s">
        <v>533</v>
      </c>
      <c r="D59" s="20" t="s">
        <v>397</v>
      </c>
      <c r="E59" s="20" t="s">
        <v>10</v>
      </c>
      <c r="F59" s="20" t="s">
        <v>11</v>
      </c>
      <c r="G59" s="22">
        <f>IFERROR(VLOOKUP($B59, MARKAH_KRS_KAWAD!$B:$BD, 54, FALSE)/137,0)</f>
        <v>0</v>
      </c>
      <c r="H59" s="22">
        <f>IFERROR(VLOOKUP($B59, MARKAH_KRS_BANTU_MULA!$B:$L, 11, FALSE)/20, 0)
</f>
        <v>0</v>
      </c>
      <c r="I59" s="22">
        <f>IFERROR(VLOOKUP($B59, MARKAH_KRS_IKATAN!$B:$N, 12, FALSE)/25, 0)
</f>
        <v>0</v>
      </c>
      <c r="J59" s="22">
        <f t="shared" si="1"/>
        <v>0</v>
      </c>
      <c r="K59" s="23" t="str">
        <f t="shared" si="2"/>
        <v>GGG</v>
      </c>
    </row>
    <row r="60" ht="30.75" customHeight="1">
      <c r="A60" s="24">
        <v>58.0</v>
      </c>
      <c r="B60" s="24" t="s">
        <v>534</v>
      </c>
      <c r="C60" s="25" t="s">
        <v>535</v>
      </c>
      <c r="D60" s="24" t="s">
        <v>82</v>
      </c>
      <c r="E60" s="24" t="s">
        <v>10</v>
      </c>
      <c r="F60" s="24" t="s">
        <v>11</v>
      </c>
      <c r="G60" s="26">
        <f>IFERROR(VLOOKUP($B60, MARKAH_KRS_KAWAD!$B:$BD, 54, FALSE)/137,0)</f>
        <v>0</v>
      </c>
      <c r="H60" s="26">
        <f>IFERROR(VLOOKUP($B60, MARKAH_KRS_BANTU_MULA!$B:$L, 11, FALSE)/20, 0)
</f>
        <v>0</v>
      </c>
      <c r="I60" s="26">
        <f>IFERROR(VLOOKUP($B60, MARKAH_KRS_IKATAN!$B:$N, 12, FALSE)/25, 0)
</f>
        <v>0</v>
      </c>
      <c r="J60" s="26">
        <f t="shared" si="1"/>
        <v>0</v>
      </c>
      <c r="K60" s="27" t="str">
        <f t="shared" si="2"/>
        <v>GGG</v>
      </c>
    </row>
    <row r="61" ht="30.75" customHeight="1">
      <c r="A61" s="20">
        <v>59.0</v>
      </c>
      <c r="B61" s="20" t="s">
        <v>540</v>
      </c>
      <c r="C61" s="21" t="s">
        <v>541</v>
      </c>
      <c r="D61" s="20" t="s">
        <v>542</v>
      </c>
      <c r="E61" s="20" t="s">
        <v>10</v>
      </c>
      <c r="F61" s="20" t="s">
        <v>11</v>
      </c>
      <c r="G61" s="22">
        <f>IFERROR(VLOOKUP($B61, MARKAH_KRS_KAWAD!$B:$BD, 54, FALSE)/137,0)</f>
        <v>0</v>
      </c>
      <c r="H61" s="22">
        <f>IFERROR(VLOOKUP($B61, MARKAH_KRS_BANTU_MULA!$B:$L, 11, FALSE)/20, 0)
</f>
        <v>0</v>
      </c>
      <c r="I61" s="22">
        <f>IFERROR(VLOOKUP($B61, MARKAH_KRS_IKATAN!$B:$N, 12, FALSE)/25, 0)
</f>
        <v>0</v>
      </c>
      <c r="J61" s="22">
        <f t="shared" si="1"/>
        <v>0</v>
      </c>
      <c r="K61" s="23" t="str">
        <f t="shared" si="2"/>
        <v>GGG</v>
      </c>
    </row>
    <row r="62" ht="30.75" customHeight="1">
      <c r="A62" s="24">
        <v>60.0</v>
      </c>
      <c r="B62" s="24" t="s">
        <v>545</v>
      </c>
      <c r="C62" s="25" t="s">
        <v>546</v>
      </c>
      <c r="D62" s="24" t="s">
        <v>100</v>
      </c>
      <c r="E62" s="24" t="s">
        <v>10</v>
      </c>
      <c r="F62" s="24" t="s">
        <v>11</v>
      </c>
      <c r="G62" s="26">
        <f>IFERROR(VLOOKUP($B62, MARKAH_KRS_KAWAD!$B:$BD, 54, FALSE)/137,0)</f>
        <v>0</v>
      </c>
      <c r="H62" s="26">
        <f>IFERROR(VLOOKUP($B62, MARKAH_KRS_BANTU_MULA!$B:$L, 11, FALSE)/20, 0)
</f>
        <v>0</v>
      </c>
      <c r="I62" s="26">
        <f>IFERROR(VLOOKUP($B62, MARKAH_KRS_IKATAN!$B:$N, 12, FALSE)/25, 0)
</f>
        <v>0</v>
      </c>
      <c r="J62" s="26">
        <f t="shared" si="1"/>
        <v>0</v>
      </c>
      <c r="K62" s="27" t="str">
        <f t="shared" si="2"/>
        <v>GGG</v>
      </c>
    </row>
    <row r="63" ht="30.75" customHeight="1">
      <c r="A63" s="20">
        <v>61.0</v>
      </c>
      <c r="B63" s="20" t="s">
        <v>547</v>
      </c>
      <c r="C63" s="21" t="s">
        <v>548</v>
      </c>
      <c r="D63" s="20" t="s">
        <v>435</v>
      </c>
      <c r="E63" s="20" t="s">
        <v>10</v>
      </c>
      <c r="F63" s="20" t="s">
        <v>11</v>
      </c>
      <c r="G63" s="22">
        <f>IFERROR(VLOOKUP($B63, MARKAH_KRS_KAWAD!$B:$BD, 54, FALSE)/137,0)</f>
        <v>0</v>
      </c>
      <c r="H63" s="22">
        <f>IFERROR(VLOOKUP($B63, MARKAH_KRS_BANTU_MULA!$B:$L, 11, FALSE)/20, 0)
</f>
        <v>0</v>
      </c>
      <c r="I63" s="22">
        <f>IFERROR(VLOOKUP($B63, MARKAH_KRS_IKATAN!$B:$N, 12, FALSE)/25, 0)
</f>
        <v>0</v>
      </c>
      <c r="J63" s="22">
        <f t="shared" si="1"/>
        <v>0</v>
      </c>
      <c r="K63" s="23" t="str">
        <f t="shared" si="2"/>
        <v>GGG</v>
      </c>
    </row>
    <row r="64" ht="30.75" customHeight="1">
      <c r="A64" s="24">
        <v>62.0</v>
      </c>
      <c r="B64" s="24" t="s">
        <v>549</v>
      </c>
      <c r="C64" s="25" t="s">
        <v>550</v>
      </c>
      <c r="D64" s="24" t="s">
        <v>59</v>
      </c>
      <c r="E64" s="24" t="s">
        <v>10</v>
      </c>
      <c r="F64" s="24" t="s">
        <v>11</v>
      </c>
      <c r="G64" s="26">
        <f>IFERROR(VLOOKUP($B64, MARKAH_KRS_KAWAD!$B:$BD, 54, FALSE)/137,0)</f>
        <v>0</v>
      </c>
      <c r="H64" s="26">
        <f>IFERROR(VLOOKUP($B64, MARKAH_KRS_BANTU_MULA!$B:$L, 11, FALSE)/20, 0)
</f>
        <v>0</v>
      </c>
      <c r="I64" s="26">
        <f>IFERROR(VLOOKUP($B64, MARKAH_KRS_IKATAN!$B:$N, 12, FALSE)/25, 0)
</f>
        <v>0</v>
      </c>
      <c r="J64" s="26">
        <f t="shared" si="1"/>
        <v>0</v>
      </c>
      <c r="K64" s="27" t="str">
        <f t="shared" si="2"/>
        <v>GGG</v>
      </c>
    </row>
    <row r="65" ht="30.75" customHeight="1">
      <c r="A65" s="20">
        <v>63.0</v>
      </c>
      <c r="B65" s="20" t="s">
        <v>551</v>
      </c>
      <c r="C65" s="21" t="s">
        <v>552</v>
      </c>
      <c r="D65" s="20" t="s">
        <v>27</v>
      </c>
      <c r="E65" s="20" t="s">
        <v>10</v>
      </c>
      <c r="F65" s="20" t="s">
        <v>11</v>
      </c>
      <c r="G65" s="22">
        <f>IFERROR(VLOOKUP($B65, MARKAH_KRS_KAWAD!$B:$BD, 54, FALSE)/137,0)</f>
        <v>0</v>
      </c>
      <c r="H65" s="22">
        <f>IFERROR(VLOOKUP($B65, MARKAH_KRS_BANTU_MULA!$B:$L, 11, FALSE)/20, 0)
</f>
        <v>0</v>
      </c>
      <c r="I65" s="22">
        <f>IFERROR(VLOOKUP($B65, MARKAH_KRS_IKATAN!$B:$N, 12, FALSE)/25, 0)
</f>
        <v>0</v>
      </c>
      <c r="J65" s="22">
        <f t="shared" si="1"/>
        <v>0</v>
      </c>
      <c r="K65" s="23" t="str">
        <f t="shared" si="2"/>
        <v>GGG</v>
      </c>
    </row>
    <row r="66" ht="30.75" customHeight="1">
      <c r="A66" s="24">
        <v>64.0</v>
      </c>
      <c r="B66" s="24" t="s">
        <v>553</v>
      </c>
      <c r="C66" s="25" t="s">
        <v>554</v>
      </c>
      <c r="D66" s="24" t="s">
        <v>27</v>
      </c>
      <c r="E66" s="24" t="s">
        <v>10</v>
      </c>
      <c r="F66" s="24" t="s">
        <v>11</v>
      </c>
      <c r="G66" s="26">
        <f>IFERROR(VLOOKUP($B66, MARKAH_KRS_KAWAD!$B:$BD, 54, FALSE)/137,0)</f>
        <v>0</v>
      </c>
      <c r="H66" s="26">
        <f>IFERROR(VLOOKUP($B66, MARKAH_KRS_BANTU_MULA!$B:$L, 11, FALSE)/20, 0)
</f>
        <v>0</v>
      </c>
      <c r="I66" s="26">
        <f>IFERROR(VLOOKUP($B66, MARKAH_KRS_IKATAN!$B:$N, 12, FALSE)/25, 0)
</f>
        <v>0</v>
      </c>
      <c r="J66" s="26">
        <f t="shared" si="1"/>
        <v>0</v>
      </c>
      <c r="K66" s="27" t="str">
        <f t="shared" si="2"/>
        <v>GGG</v>
      </c>
    </row>
    <row r="67" ht="30.75" customHeight="1">
      <c r="A67" s="20">
        <v>65.0</v>
      </c>
      <c r="B67" s="20" t="s">
        <v>555</v>
      </c>
      <c r="C67" s="21" t="s">
        <v>556</v>
      </c>
      <c r="D67" s="20" t="s">
        <v>27</v>
      </c>
      <c r="E67" s="20" t="s">
        <v>10</v>
      </c>
      <c r="F67" s="20" t="s">
        <v>11</v>
      </c>
      <c r="G67" s="22">
        <f>IFERROR(VLOOKUP($B67, MARKAH_KRS_KAWAD!$B:$BD, 54, FALSE)/137,0)</f>
        <v>0</v>
      </c>
      <c r="H67" s="22">
        <f>IFERROR(VLOOKUP($B67, MARKAH_KRS_BANTU_MULA!$B:$L, 11, FALSE)/20, 0)
</f>
        <v>0</v>
      </c>
      <c r="I67" s="22">
        <f>IFERROR(VLOOKUP($B67, MARKAH_KRS_IKATAN!$B:$N, 12, FALSE)/25, 0)
</f>
        <v>0</v>
      </c>
      <c r="J67" s="22">
        <f t="shared" si="1"/>
        <v>0</v>
      </c>
      <c r="K67" s="23" t="str">
        <f t="shared" si="2"/>
        <v>GGG</v>
      </c>
    </row>
    <row r="68" ht="30.75" customHeight="1">
      <c r="A68" s="24">
        <v>66.0</v>
      </c>
      <c r="B68" s="24" t="s">
        <v>557</v>
      </c>
      <c r="C68" s="25" t="s">
        <v>558</v>
      </c>
      <c r="D68" s="24" t="s">
        <v>27</v>
      </c>
      <c r="E68" s="24" t="s">
        <v>10</v>
      </c>
      <c r="F68" s="24" t="s">
        <v>11</v>
      </c>
      <c r="G68" s="26">
        <f>IFERROR(VLOOKUP($B68, MARKAH_KRS_KAWAD!$B:$BD, 54, FALSE)/137,0)</f>
        <v>0</v>
      </c>
      <c r="H68" s="26">
        <f>IFERROR(VLOOKUP($B68, MARKAH_KRS_BANTU_MULA!$B:$L, 11, FALSE)/20, 0)
</f>
        <v>0</v>
      </c>
      <c r="I68" s="26">
        <f>IFERROR(VLOOKUP($B68, MARKAH_KRS_IKATAN!$B:$N, 12, FALSE)/25, 0)
</f>
        <v>0</v>
      </c>
      <c r="J68" s="26">
        <f t="shared" si="1"/>
        <v>0</v>
      </c>
      <c r="K68" s="27" t="str">
        <f t="shared" si="2"/>
        <v>GGG</v>
      </c>
    </row>
    <row r="69" ht="30.75" customHeight="1">
      <c r="A69" s="20">
        <v>67.0</v>
      </c>
      <c r="B69" s="20" t="s">
        <v>559</v>
      </c>
      <c r="C69" s="21" t="s">
        <v>560</v>
      </c>
      <c r="D69" s="20" t="s">
        <v>125</v>
      </c>
      <c r="E69" s="20" t="s">
        <v>10</v>
      </c>
      <c r="F69" s="20" t="s">
        <v>11</v>
      </c>
      <c r="G69" s="22">
        <f>IFERROR(VLOOKUP($B69, MARKAH_KRS_KAWAD!$B:$BD, 54, FALSE)/137,0)</f>
        <v>0</v>
      </c>
      <c r="H69" s="22">
        <f>IFERROR(VLOOKUP($B69, MARKAH_KRS_BANTU_MULA!$B:$L, 11, FALSE)/20, 0)
</f>
        <v>0</v>
      </c>
      <c r="I69" s="22">
        <f>IFERROR(VLOOKUP($B69, MARKAH_KRS_IKATAN!$B:$N, 12, FALSE)/25, 0)
</f>
        <v>0</v>
      </c>
      <c r="J69" s="22">
        <f t="shared" si="1"/>
        <v>0</v>
      </c>
      <c r="K69" s="23" t="str">
        <f t="shared" si="2"/>
        <v>GGG</v>
      </c>
    </row>
    <row r="70" ht="30.75" customHeight="1">
      <c r="A70" s="24">
        <v>68.0</v>
      </c>
      <c r="B70" s="24" t="s">
        <v>561</v>
      </c>
      <c r="C70" s="25" t="s">
        <v>562</v>
      </c>
      <c r="D70" s="24" t="s">
        <v>146</v>
      </c>
      <c r="E70" s="24" t="s">
        <v>10</v>
      </c>
      <c r="F70" s="24" t="s">
        <v>11</v>
      </c>
      <c r="G70" s="26">
        <f>IFERROR(VLOOKUP($B70, MARKAH_KRS_KAWAD!$B:$BD, 54, FALSE)/137,0)</f>
        <v>0</v>
      </c>
      <c r="H70" s="26">
        <f>IFERROR(VLOOKUP($B70, MARKAH_KRS_BANTU_MULA!$B:$L, 11, FALSE)/20, 0)
</f>
        <v>0</v>
      </c>
      <c r="I70" s="26">
        <f>IFERROR(VLOOKUP($B70, MARKAH_KRS_IKATAN!$B:$N, 12, FALSE)/25, 0)
</f>
        <v>0</v>
      </c>
      <c r="J70" s="26">
        <f t="shared" si="1"/>
        <v>0</v>
      </c>
      <c r="K70" s="27" t="str">
        <f t="shared" si="2"/>
        <v>GGG</v>
      </c>
    </row>
    <row r="71" ht="30.75" customHeight="1">
      <c r="A71" s="20">
        <v>69.0</v>
      </c>
      <c r="B71" s="20" t="s">
        <v>563</v>
      </c>
      <c r="C71" s="21" t="s">
        <v>564</v>
      </c>
      <c r="D71" s="20" t="s">
        <v>203</v>
      </c>
      <c r="E71" s="20" t="s">
        <v>10</v>
      </c>
      <c r="F71" s="20" t="s">
        <v>11</v>
      </c>
      <c r="G71" s="22">
        <f>IFERROR(VLOOKUP($B71, MARKAH_KRS_KAWAD!$B:$BD, 54, FALSE)/137,0)</f>
        <v>0</v>
      </c>
      <c r="H71" s="22">
        <f>IFERROR(VLOOKUP($B71, MARKAH_KRS_BANTU_MULA!$B:$L, 11, FALSE)/20, 0)
</f>
        <v>0</v>
      </c>
      <c r="I71" s="22">
        <f>IFERROR(VLOOKUP($B71, MARKAH_KRS_IKATAN!$B:$N, 12, FALSE)/25, 0)
</f>
        <v>0</v>
      </c>
      <c r="J71" s="22">
        <f t="shared" si="1"/>
        <v>0</v>
      </c>
      <c r="K71" s="23" t="str">
        <f t="shared" si="2"/>
        <v>GGG</v>
      </c>
    </row>
    <row r="72" ht="30.75" customHeight="1">
      <c r="A72" s="24">
        <v>70.0</v>
      </c>
      <c r="B72" s="24" t="s">
        <v>565</v>
      </c>
      <c r="C72" s="25" t="s">
        <v>566</v>
      </c>
      <c r="D72" s="24" t="s">
        <v>226</v>
      </c>
      <c r="E72" s="24" t="s">
        <v>10</v>
      </c>
      <c r="F72" s="24" t="s">
        <v>11</v>
      </c>
      <c r="G72" s="26">
        <f>IFERROR(VLOOKUP($B72, MARKAH_KRS_KAWAD!$B:$BD, 54, FALSE)/137,0)</f>
        <v>0</v>
      </c>
      <c r="H72" s="26">
        <f>IFERROR(VLOOKUP($B72, MARKAH_KRS_BANTU_MULA!$B:$L, 11, FALSE)/20, 0)
</f>
        <v>0</v>
      </c>
      <c r="I72" s="26">
        <f>IFERROR(VLOOKUP($B72, MARKAH_KRS_IKATAN!$B:$N, 12, FALSE)/25, 0)
</f>
        <v>0</v>
      </c>
      <c r="J72" s="26">
        <f t="shared" si="1"/>
        <v>0</v>
      </c>
      <c r="K72" s="27" t="str">
        <f t="shared" si="2"/>
        <v>GGG</v>
      </c>
    </row>
    <row r="73" ht="30.75" customHeight="1">
      <c r="A73" s="20">
        <v>71.0</v>
      </c>
      <c r="B73" s="20" t="s">
        <v>567</v>
      </c>
      <c r="C73" s="21" t="s">
        <v>568</v>
      </c>
      <c r="D73" s="20" t="s">
        <v>238</v>
      </c>
      <c r="E73" s="20" t="s">
        <v>10</v>
      </c>
      <c r="F73" s="20" t="s">
        <v>11</v>
      </c>
      <c r="G73" s="22">
        <f>IFERROR(VLOOKUP($B73, MARKAH_KRS_KAWAD!$B:$BD, 54, FALSE)/137,0)</f>
        <v>0</v>
      </c>
      <c r="H73" s="22">
        <f>IFERROR(VLOOKUP($B73, MARKAH_KRS_BANTU_MULA!$B:$L, 11, FALSE)/20, 0)
</f>
        <v>0</v>
      </c>
      <c r="I73" s="22">
        <f>IFERROR(VLOOKUP($B73, MARKAH_KRS_IKATAN!$B:$N, 12, FALSE)/25, 0)
</f>
        <v>0</v>
      </c>
      <c r="J73" s="22">
        <f t="shared" si="1"/>
        <v>0</v>
      </c>
      <c r="K73" s="23" t="str">
        <f t="shared" si="2"/>
        <v>GGG</v>
      </c>
    </row>
    <row r="74" ht="30.75" customHeight="1">
      <c r="A74" s="24">
        <v>72.0</v>
      </c>
      <c r="B74" s="24" t="s">
        <v>570</v>
      </c>
      <c r="C74" s="25" t="s">
        <v>572</v>
      </c>
      <c r="D74" s="24" t="s">
        <v>48</v>
      </c>
      <c r="E74" s="24" t="s">
        <v>10</v>
      </c>
      <c r="F74" s="24" t="s">
        <v>11</v>
      </c>
      <c r="G74" s="26">
        <f>IFERROR(VLOOKUP($B74, MARKAH_KRS_KAWAD!$B:$BD, 54, FALSE)/137,0)</f>
        <v>0</v>
      </c>
      <c r="H74" s="26">
        <f>IFERROR(VLOOKUP($B74, MARKAH_KRS_BANTU_MULA!$B:$L, 11, FALSE)/20, 0)
</f>
        <v>0</v>
      </c>
      <c r="I74" s="26">
        <f>IFERROR(VLOOKUP($B74, MARKAH_KRS_IKATAN!$B:$N, 12, FALSE)/25, 0)
</f>
        <v>0</v>
      </c>
      <c r="J74" s="26">
        <f t="shared" si="1"/>
        <v>0</v>
      </c>
      <c r="K74" s="27" t="str">
        <f t="shared" si="2"/>
        <v>GGG</v>
      </c>
    </row>
    <row r="75" ht="30.75" customHeight="1">
      <c r="A75" s="20">
        <v>73.0</v>
      </c>
      <c r="B75" s="20" t="s">
        <v>578</v>
      </c>
      <c r="C75" s="21" t="s">
        <v>579</v>
      </c>
      <c r="D75" s="20" t="s">
        <v>48</v>
      </c>
      <c r="E75" s="20" t="s">
        <v>10</v>
      </c>
      <c r="F75" s="20" t="s">
        <v>11</v>
      </c>
      <c r="G75" s="22">
        <f>IFERROR(VLOOKUP($B75, MARKAH_KRS_KAWAD!$B:$BD, 54, FALSE)/137,0)</f>
        <v>0</v>
      </c>
      <c r="H75" s="22">
        <f>IFERROR(VLOOKUP($B75, MARKAH_KRS_BANTU_MULA!$B:$L, 11, FALSE)/20, 0)
</f>
        <v>0</v>
      </c>
      <c r="I75" s="22">
        <f>IFERROR(VLOOKUP($B75, MARKAH_KRS_IKATAN!$B:$N, 12, FALSE)/25, 0)
</f>
        <v>0</v>
      </c>
      <c r="J75" s="22">
        <f t="shared" si="1"/>
        <v>0</v>
      </c>
      <c r="K75" s="23" t="str">
        <f t="shared" si="2"/>
        <v>GGG</v>
      </c>
    </row>
    <row r="76" ht="30.75" customHeight="1">
      <c r="A76" s="24">
        <v>74.0</v>
      </c>
      <c r="B76" s="24" t="s">
        <v>580</v>
      </c>
      <c r="C76" s="25" t="s">
        <v>581</v>
      </c>
      <c r="D76" s="24" t="s">
        <v>48</v>
      </c>
      <c r="E76" s="24" t="s">
        <v>10</v>
      </c>
      <c r="F76" s="24" t="s">
        <v>11</v>
      </c>
      <c r="G76" s="26">
        <f>IFERROR(VLOOKUP($B76, MARKAH_KRS_KAWAD!$B:$BD, 54, FALSE)/137,0)</f>
        <v>0</v>
      </c>
      <c r="H76" s="26">
        <f>IFERROR(VLOOKUP($B76, MARKAH_KRS_BANTU_MULA!$B:$L, 11, FALSE)/20, 0)
</f>
        <v>0</v>
      </c>
      <c r="I76" s="26">
        <f>IFERROR(VLOOKUP($B76, MARKAH_KRS_IKATAN!$B:$N, 12, FALSE)/25, 0)
</f>
        <v>0</v>
      </c>
      <c r="J76" s="26">
        <f t="shared" si="1"/>
        <v>0</v>
      </c>
      <c r="K76" s="27" t="str">
        <f t="shared" si="2"/>
        <v>GGG</v>
      </c>
    </row>
    <row r="77" ht="30.75" customHeight="1">
      <c r="A77" s="20">
        <v>75.0</v>
      </c>
      <c r="B77" s="20" t="s">
        <v>582</v>
      </c>
      <c r="C77" s="21" t="s">
        <v>583</v>
      </c>
      <c r="D77" s="20" t="s">
        <v>48</v>
      </c>
      <c r="E77" s="20" t="s">
        <v>10</v>
      </c>
      <c r="F77" s="20" t="s">
        <v>11</v>
      </c>
      <c r="G77" s="22">
        <f>IFERROR(VLOOKUP($B77, MARKAH_KRS_KAWAD!$B:$BD, 54, FALSE)/137,0)</f>
        <v>0</v>
      </c>
      <c r="H77" s="22">
        <f>IFERROR(VLOOKUP($B77, MARKAH_KRS_BANTU_MULA!$B:$L, 11, FALSE)/20, 0)
</f>
        <v>0</v>
      </c>
      <c r="I77" s="22">
        <f>IFERROR(VLOOKUP($B77, MARKAH_KRS_IKATAN!$B:$N, 12, FALSE)/25, 0)
</f>
        <v>0</v>
      </c>
      <c r="J77" s="22">
        <f t="shared" si="1"/>
        <v>0</v>
      </c>
      <c r="K77" s="23" t="str">
        <f t="shared" si="2"/>
        <v>GGG</v>
      </c>
    </row>
    <row r="78" ht="30.75" customHeight="1">
      <c r="A78" s="24">
        <v>76.0</v>
      </c>
      <c r="B78" s="24" t="s">
        <v>584</v>
      </c>
      <c r="C78" s="25" t="s">
        <v>585</v>
      </c>
      <c r="D78" s="24" t="s">
        <v>48</v>
      </c>
      <c r="E78" s="24" t="s">
        <v>10</v>
      </c>
      <c r="F78" s="24" t="s">
        <v>11</v>
      </c>
      <c r="G78" s="26">
        <f>IFERROR(VLOOKUP($B78, MARKAH_KRS_KAWAD!$B:$BD, 54, FALSE)/137,0)</f>
        <v>0</v>
      </c>
      <c r="H78" s="26">
        <f>IFERROR(VLOOKUP($B78, MARKAH_KRS_BANTU_MULA!$B:$L, 11, FALSE)/20, 0)
</f>
        <v>0</v>
      </c>
      <c r="I78" s="26">
        <f>IFERROR(VLOOKUP($B78, MARKAH_KRS_IKATAN!$B:$N, 12, FALSE)/25, 0)
</f>
        <v>0</v>
      </c>
      <c r="J78" s="26">
        <f t="shared" si="1"/>
        <v>0</v>
      </c>
      <c r="K78" s="27" t="str">
        <f t="shared" si="2"/>
        <v>GGG</v>
      </c>
    </row>
    <row r="79" ht="30.75" customHeight="1">
      <c r="A79" s="20">
        <v>77.0</v>
      </c>
      <c r="B79" s="20" t="s">
        <v>586</v>
      </c>
      <c r="C79" s="21" t="s">
        <v>587</v>
      </c>
      <c r="D79" s="20" t="s">
        <v>55</v>
      </c>
      <c r="E79" s="20" t="s">
        <v>10</v>
      </c>
      <c r="F79" s="20" t="s">
        <v>38</v>
      </c>
      <c r="G79" s="22">
        <f>IFERROR(VLOOKUP($B79, MARKAH_KRS_KAWAD!$B:$BD, 54, FALSE)/137,0)</f>
        <v>0</v>
      </c>
      <c r="H79" s="22">
        <f>IFERROR(VLOOKUP($B79, MARKAH_KRS_BANTU_MULA!$B:$L, 11, FALSE)/20, 0)
</f>
        <v>0</v>
      </c>
      <c r="I79" s="22">
        <f>IFERROR(VLOOKUP($B79, MARKAH_KRS_IKATAN!$B:$N, 12, FALSE)/25, 0)
</f>
        <v>0</v>
      </c>
      <c r="J79" s="22">
        <f t="shared" si="1"/>
        <v>0</v>
      </c>
      <c r="K79" s="23" t="str">
        <f t="shared" si="2"/>
        <v>GGG</v>
      </c>
    </row>
    <row r="80" ht="30.75" customHeight="1">
      <c r="A80" s="24">
        <v>78.0</v>
      </c>
      <c r="B80" s="24" t="s">
        <v>588</v>
      </c>
      <c r="C80" s="25" t="s">
        <v>589</v>
      </c>
      <c r="D80" s="24" t="s">
        <v>323</v>
      </c>
      <c r="E80" s="24" t="s">
        <v>10</v>
      </c>
      <c r="F80" s="24" t="s">
        <v>11</v>
      </c>
      <c r="G80" s="26">
        <f>IFERROR(VLOOKUP($B80, MARKAH_KRS_KAWAD!$B:$BD, 54, FALSE)/137,0)</f>
        <v>0</v>
      </c>
      <c r="H80" s="26">
        <f>IFERROR(VLOOKUP($B80, MARKAH_KRS_BANTU_MULA!$B:$L, 11, FALSE)/20, 0)
</f>
        <v>0</v>
      </c>
      <c r="I80" s="26">
        <f>IFERROR(VLOOKUP($B80, MARKAH_KRS_IKATAN!$B:$N, 12, FALSE)/25, 0)
</f>
        <v>0</v>
      </c>
      <c r="J80" s="26">
        <f t="shared" si="1"/>
        <v>0</v>
      </c>
      <c r="K80" s="27" t="str">
        <f t="shared" si="2"/>
        <v>GGG</v>
      </c>
    </row>
    <row r="81" ht="30.75" customHeight="1">
      <c r="A81" s="20">
        <v>79.0</v>
      </c>
      <c r="B81" s="20" t="s">
        <v>590</v>
      </c>
      <c r="C81" s="21" t="s">
        <v>591</v>
      </c>
      <c r="D81" s="20" t="s">
        <v>21</v>
      </c>
      <c r="E81" s="20" t="s">
        <v>10</v>
      </c>
      <c r="F81" s="20" t="s">
        <v>38</v>
      </c>
      <c r="G81" s="22">
        <f>IFERROR(VLOOKUP($B81, MARKAH_KRS_KAWAD!$B:$BD, 54, FALSE)/137,0)</f>
        <v>0</v>
      </c>
      <c r="H81" s="22">
        <f>IFERROR(VLOOKUP($B81, MARKAH_KRS_BANTU_MULA!$B:$L, 11, FALSE)/20, 0)
</f>
        <v>0</v>
      </c>
      <c r="I81" s="22">
        <f>IFERROR(VLOOKUP($B81, MARKAH_KRS_IKATAN!$B:$N, 12, FALSE)/25, 0)
</f>
        <v>0</v>
      </c>
      <c r="J81" s="22">
        <f t="shared" si="1"/>
        <v>0</v>
      </c>
      <c r="K81" s="23" t="str">
        <f t="shared" si="2"/>
        <v>GGG</v>
      </c>
    </row>
    <row r="82" ht="30.75" customHeight="1">
      <c r="A82" s="24">
        <v>80.0</v>
      </c>
      <c r="B82" s="24" t="s">
        <v>592</v>
      </c>
      <c r="C82" s="25" t="s">
        <v>593</v>
      </c>
      <c r="D82" s="24" t="s">
        <v>349</v>
      </c>
      <c r="E82" s="24" t="s">
        <v>10</v>
      </c>
      <c r="F82" s="24" t="s">
        <v>11</v>
      </c>
      <c r="G82" s="26">
        <f>IFERROR(VLOOKUP($B82, MARKAH_KRS_KAWAD!$B:$BD, 54, FALSE)/137,0)</f>
        <v>0</v>
      </c>
      <c r="H82" s="26">
        <f>IFERROR(VLOOKUP($B82, MARKAH_KRS_BANTU_MULA!$B:$L, 11, FALSE)/20, 0)
</f>
        <v>0</v>
      </c>
      <c r="I82" s="26">
        <f>IFERROR(VLOOKUP($B82, MARKAH_KRS_IKATAN!$B:$N, 12, FALSE)/25, 0)
</f>
        <v>0</v>
      </c>
      <c r="J82" s="26">
        <f t="shared" si="1"/>
        <v>0</v>
      </c>
      <c r="K82" s="27" t="str">
        <f t="shared" si="2"/>
        <v>GGG</v>
      </c>
    </row>
    <row r="83" ht="30.75" customHeight="1">
      <c r="A83" s="20">
        <v>81.0</v>
      </c>
      <c r="B83" s="20" t="s">
        <v>594</v>
      </c>
      <c r="C83" s="21" t="s">
        <v>595</v>
      </c>
      <c r="D83" s="20" t="s">
        <v>16</v>
      </c>
      <c r="E83" s="20" t="s">
        <v>10</v>
      </c>
      <c r="F83" s="20" t="s">
        <v>11</v>
      </c>
      <c r="G83" s="22">
        <f>IFERROR(VLOOKUP($B83, MARKAH_KRS_KAWAD!$B:$BD, 54, FALSE)/137,0)</f>
        <v>0</v>
      </c>
      <c r="H83" s="22">
        <f>IFERROR(VLOOKUP($B83, MARKAH_KRS_BANTU_MULA!$B:$L, 11, FALSE)/20, 0)
</f>
        <v>0</v>
      </c>
      <c r="I83" s="22">
        <f>IFERROR(VLOOKUP($B83, MARKAH_KRS_IKATAN!$B:$N, 12, FALSE)/25, 0)
</f>
        <v>0</v>
      </c>
      <c r="J83" s="22">
        <f t="shared" si="1"/>
        <v>0</v>
      </c>
      <c r="K83" s="23" t="str">
        <f t="shared" si="2"/>
        <v>GGG</v>
      </c>
    </row>
    <row r="84" ht="30.75" customHeight="1">
      <c r="A84" s="24">
        <v>82.0</v>
      </c>
      <c r="B84" s="24" t="s">
        <v>596</v>
      </c>
      <c r="C84" s="25" t="s">
        <v>597</v>
      </c>
      <c r="D84" s="24" t="s">
        <v>16</v>
      </c>
      <c r="E84" s="24" t="s">
        <v>10</v>
      </c>
      <c r="F84" s="24" t="s">
        <v>11</v>
      </c>
      <c r="G84" s="26">
        <f>IFERROR(VLOOKUP($B84, MARKAH_KRS_KAWAD!$B:$BD, 54, FALSE)/137,0)</f>
        <v>0</v>
      </c>
      <c r="H84" s="26">
        <f>IFERROR(VLOOKUP($B84, MARKAH_KRS_BANTU_MULA!$B:$L, 11, FALSE)/20, 0)
</f>
        <v>0</v>
      </c>
      <c r="I84" s="26">
        <f>IFERROR(VLOOKUP($B84, MARKAH_KRS_IKATAN!$B:$N, 12, FALSE)/25, 0)
</f>
        <v>0</v>
      </c>
      <c r="J84" s="26">
        <f t="shared" si="1"/>
        <v>0</v>
      </c>
      <c r="K84" s="27" t="str">
        <f t="shared" si="2"/>
        <v>GGG</v>
      </c>
    </row>
    <row r="85" ht="30.75" customHeight="1">
      <c r="A85" s="20">
        <v>83.0</v>
      </c>
      <c r="B85" s="20" t="s">
        <v>598</v>
      </c>
      <c r="C85" s="21" t="s">
        <v>599</v>
      </c>
      <c r="D85" s="20" t="s">
        <v>140</v>
      </c>
      <c r="E85" s="20" t="s">
        <v>18</v>
      </c>
      <c r="F85" s="20" t="s">
        <v>11</v>
      </c>
      <c r="G85" s="22">
        <f>IFERROR(VLOOKUP($B85, MARKAH_KRS_KAWAD!$B:$BD, 54, FALSE)/137,0)</f>
        <v>0</v>
      </c>
      <c r="H85" s="22">
        <f>IFERROR(VLOOKUP($B85, MARKAH_KRS_BANTU_MULA!$B:$L, 11, FALSE)/20, 0)
</f>
        <v>0</v>
      </c>
      <c r="I85" s="22">
        <f>IFERROR(VLOOKUP($B85, MARKAH_KRS_IKATAN!$B:$N, 12, FALSE)/25, 0)
</f>
        <v>0</v>
      </c>
      <c r="J85" s="22">
        <f t="shared" si="1"/>
        <v>0</v>
      </c>
      <c r="K85" s="23" t="str">
        <f t="shared" si="2"/>
        <v>GGG</v>
      </c>
    </row>
    <row r="86" ht="30.75" customHeight="1">
      <c r="A86" s="24">
        <v>84.0</v>
      </c>
      <c r="B86" s="24" t="s">
        <v>600</v>
      </c>
      <c r="C86" s="25" t="s">
        <v>601</v>
      </c>
      <c r="D86" s="24" t="s">
        <v>140</v>
      </c>
      <c r="E86" s="24" t="s">
        <v>18</v>
      </c>
      <c r="F86" s="24" t="s">
        <v>11</v>
      </c>
      <c r="G86" s="26">
        <f>IFERROR(VLOOKUP($B86, MARKAH_KRS_KAWAD!$B:$BD, 54, FALSE)/137,0)</f>
        <v>0</v>
      </c>
      <c r="H86" s="26">
        <f>IFERROR(VLOOKUP($B86, MARKAH_KRS_BANTU_MULA!$B:$L, 11, FALSE)/20, 0)
</f>
        <v>0</v>
      </c>
      <c r="I86" s="26">
        <f>IFERROR(VLOOKUP($B86, MARKAH_KRS_IKATAN!$B:$N, 12, FALSE)/25, 0)
</f>
        <v>0</v>
      </c>
      <c r="J86" s="26">
        <f t="shared" si="1"/>
        <v>0</v>
      </c>
      <c r="K86" s="27" t="str">
        <f t="shared" si="2"/>
        <v>GGG</v>
      </c>
    </row>
    <row r="87" ht="30.75" customHeight="1">
      <c r="A87" s="20">
        <v>85.0</v>
      </c>
      <c r="B87" s="20" t="s">
        <v>602</v>
      </c>
      <c r="C87" s="21" t="s">
        <v>603</v>
      </c>
      <c r="D87" s="20" t="s">
        <v>72</v>
      </c>
      <c r="E87" s="20" t="s">
        <v>18</v>
      </c>
      <c r="F87" s="20" t="s">
        <v>11</v>
      </c>
      <c r="G87" s="22">
        <f>IFERROR(VLOOKUP($B87, MARKAH_KRS_KAWAD!$B:$BD, 54, FALSE)/137,0)</f>
        <v>0</v>
      </c>
      <c r="H87" s="22">
        <f>IFERROR(VLOOKUP($B87, MARKAH_KRS_BANTU_MULA!$B:$L, 11, FALSE)/20, 0)
</f>
        <v>0</v>
      </c>
      <c r="I87" s="22">
        <f>IFERROR(VLOOKUP($B87, MARKAH_KRS_IKATAN!$B:$N, 12, FALSE)/25, 0)
</f>
        <v>0</v>
      </c>
      <c r="J87" s="22">
        <f t="shared" si="1"/>
        <v>0</v>
      </c>
      <c r="K87" s="23" t="str">
        <f t="shared" si="2"/>
        <v>GGG</v>
      </c>
    </row>
    <row r="88" ht="30.75" customHeight="1">
      <c r="A88" s="24">
        <v>86.0</v>
      </c>
      <c r="B88" s="24" t="s">
        <v>604</v>
      </c>
      <c r="C88" s="25" t="s">
        <v>605</v>
      </c>
      <c r="D88" s="24" t="s">
        <v>397</v>
      </c>
      <c r="E88" s="24" t="s">
        <v>18</v>
      </c>
      <c r="F88" s="24" t="s">
        <v>11</v>
      </c>
      <c r="G88" s="26">
        <f>IFERROR(VLOOKUP($B88, MARKAH_KRS_KAWAD!$B:$BD, 54, FALSE)/137,0)</f>
        <v>0</v>
      </c>
      <c r="H88" s="26">
        <f>IFERROR(VLOOKUP($B88, MARKAH_KRS_BANTU_MULA!$B:$L, 11, FALSE)/20, 0)
</f>
        <v>0</v>
      </c>
      <c r="I88" s="26">
        <f>IFERROR(VLOOKUP($B88, MARKAH_KRS_IKATAN!$B:$N, 12, FALSE)/25, 0)
</f>
        <v>0</v>
      </c>
      <c r="J88" s="26">
        <f t="shared" si="1"/>
        <v>0</v>
      </c>
      <c r="K88" s="27" t="str">
        <f t="shared" si="2"/>
        <v>GGG</v>
      </c>
    </row>
    <row r="89" ht="30.75" customHeight="1">
      <c r="A89" s="20">
        <v>87.0</v>
      </c>
      <c r="B89" s="20" t="s">
        <v>606</v>
      </c>
      <c r="C89" s="21" t="s">
        <v>607</v>
      </c>
      <c r="D89" s="20" t="s">
        <v>59</v>
      </c>
      <c r="E89" s="20" t="s">
        <v>18</v>
      </c>
      <c r="F89" s="20" t="s">
        <v>11</v>
      </c>
      <c r="G89" s="22">
        <f>IFERROR(VLOOKUP($B89, MARKAH_KRS_KAWAD!$B:$BD, 54, FALSE)/137,0)</f>
        <v>0</v>
      </c>
      <c r="H89" s="22">
        <f>IFERROR(VLOOKUP($B89, MARKAH_KRS_BANTU_MULA!$B:$L, 11, FALSE)/20, 0)
</f>
        <v>0</v>
      </c>
      <c r="I89" s="22">
        <f>IFERROR(VLOOKUP($B89, MARKAH_KRS_IKATAN!$B:$N, 12, FALSE)/25, 0)
</f>
        <v>0</v>
      </c>
      <c r="J89" s="22">
        <f t="shared" si="1"/>
        <v>0</v>
      </c>
      <c r="K89" s="23" t="str">
        <f t="shared" si="2"/>
        <v>GGG</v>
      </c>
    </row>
    <row r="90" ht="30.75" customHeight="1">
      <c r="A90" s="24">
        <v>88.0</v>
      </c>
      <c r="B90" s="24" t="s">
        <v>608</v>
      </c>
      <c r="C90" s="25" t="s">
        <v>609</v>
      </c>
      <c r="D90" s="24" t="s">
        <v>254</v>
      </c>
      <c r="E90" s="24" t="s">
        <v>18</v>
      </c>
      <c r="F90" s="24" t="s">
        <v>38</v>
      </c>
      <c r="G90" s="26">
        <f>IFERROR(VLOOKUP($B90, MARKAH_KRS_KAWAD!$B:$BD, 54, FALSE)/137,0)</f>
        <v>0</v>
      </c>
      <c r="H90" s="26">
        <f>IFERROR(VLOOKUP($B90, MARKAH_KRS_BANTU_MULA!$B:$L, 11, FALSE)/20, 0)
</f>
        <v>0</v>
      </c>
      <c r="I90" s="26">
        <f>IFERROR(VLOOKUP($B90, MARKAH_KRS_IKATAN!$B:$N, 12, FALSE)/25, 0)
</f>
        <v>0</v>
      </c>
      <c r="J90" s="26">
        <f t="shared" si="1"/>
        <v>0</v>
      </c>
      <c r="K90" s="27" t="str">
        <f t="shared" si="2"/>
        <v>GGG</v>
      </c>
    </row>
    <row r="91" ht="30.75" customHeight="1">
      <c r="A91" s="20">
        <v>89.0</v>
      </c>
      <c r="B91" s="20" t="s">
        <v>610</v>
      </c>
      <c r="C91" s="21" t="s">
        <v>611</v>
      </c>
      <c r="D91" s="20" t="s">
        <v>254</v>
      </c>
      <c r="E91" s="20" t="s">
        <v>18</v>
      </c>
      <c r="F91" s="20" t="s">
        <v>38</v>
      </c>
      <c r="G91" s="22">
        <f>IFERROR(VLOOKUP($B91, MARKAH_KRS_KAWAD!$B:$BD, 54, FALSE)/137,0)</f>
        <v>0</v>
      </c>
      <c r="H91" s="22">
        <f>IFERROR(VLOOKUP($B91, MARKAH_KRS_BANTU_MULA!$B:$L, 11, FALSE)/20, 0)
</f>
        <v>0</v>
      </c>
      <c r="I91" s="22">
        <f>IFERROR(VLOOKUP($B91, MARKAH_KRS_IKATAN!$B:$N, 12, FALSE)/25, 0)
</f>
        <v>0</v>
      </c>
      <c r="J91" s="22">
        <f t="shared" si="1"/>
        <v>0</v>
      </c>
      <c r="K91" s="23" t="str">
        <f t="shared" si="2"/>
        <v>GGG</v>
      </c>
    </row>
    <row r="92" ht="30.75" customHeight="1">
      <c r="A92" s="24">
        <v>90.0</v>
      </c>
      <c r="B92" s="24" t="s">
        <v>612</v>
      </c>
      <c r="C92" s="25" t="s">
        <v>613</v>
      </c>
      <c r="D92" s="24" t="s">
        <v>27</v>
      </c>
      <c r="E92" s="24" t="s">
        <v>18</v>
      </c>
      <c r="F92" s="24" t="s">
        <v>11</v>
      </c>
      <c r="G92" s="26">
        <f>IFERROR(VLOOKUP($B92, MARKAH_KRS_KAWAD!$B:$BD, 54, FALSE)/137,0)</f>
        <v>0</v>
      </c>
      <c r="H92" s="26">
        <f>IFERROR(VLOOKUP($B92, MARKAH_KRS_BANTU_MULA!$B:$L, 11, FALSE)/20, 0)
</f>
        <v>0</v>
      </c>
      <c r="I92" s="26">
        <f>IFERROR(VLOOKUP($B92, MARKAH_KRS_IKATAN!$B:$N, 12, FALSE)/25, 0)
</f>
        <v>0</v>
      </c>
      <c r="J92" s="26">
        <f t="shared" si="1"/>
        <v>0</v>
      </c>
      <c r="K92" s="27" t="str">
        <f t="shared" si="2"/>
        <v>GGG</v>
      </c>
    </row>
    <row r="93" ht="30.75" customHeight="1">
      <c r="A93" s="20">
        <v>91.0</v>
      </c>
      <c r="B93" s="20" t="s">
        <v>614</v>
      </c>
      <c r="C93" s="21" t="s">
        <v>615</v>
      </c>
      <c r="D93" s="20" t="s">
        <v>146</v>
      </c>
      <c r="E93" s="20" t="s">
        <v>18</v>
      </c>
      <c r="F93" s="20" t="s">
        <v>11</v>
      </c>
      <c r="G93" s="22">
        <f>IFERROR(VLOOKUP($B93, MARKAH_KRS_KAWAD!$B:$BD, 54, FALSE)/137,0)</f>
        <v>0</v>
      </c>
      <c r="H93" s="22">
        <f>IFERROR(VLOOKUP($B93, MARKAH_KRS_BANTU_MULA!$B:$L, 11, FALSE)/20, 0)
</f>
        <v>0</v>
      </c>
      <c r="I93" s="22">
        <f>IFERROR(VLOOKUP($B93, MARKAH_KRS_IKATAN!$B:$N, 12, FALSE)/25, 0)
</f>
        <v>0</v>
      </c>
      <c r="J93" s="22">
        <f t="shared" si="1"/>
        <v>0</v>
      </c>
      <c r="K93" s="23" t="str">
        <f t="shared" si="2"/>
        <v>GGG</v>
      </c>
    </row>
    <row r="94" ht="30.75" customHeight="1">
      <c r="A94" s="24">
        <v>92.0</v>
      </c>
      <c r="B94" s="24" t="s">
        <v>616</v>
      </c>
      <c r="C94" s="25" t="s">
        <v>617</v>
      </c>
      <c r="D94" s="24" t="s">
        <v>146</v>
      </c>
      <c r="E94" s="24" t="s">
        <v>18</v>
      </c>
      <c r="F94" s="24" t="s">
        <v>11</v>
      </c>
      <c r="G94" s="26">
        <f>IFERROR(VLOOKUP($B94, MARKAH_KRS_KAWAD!$B:$BD, 54, FALSE)/137,0)</f>
        <v>0</v>
      </c>
      <c r="H94" s="26">
        <f>IFERROR(VLOOKUP($B94, MARKAH_KRS_BANTU_MULA!$B:$L, 11, FALSE)/20, 0)
</f>
        <v>0</v>
      </c>
      <c r="I94" s="26">
        <f>IFERROR(VLOOKUP($B94, MARKAH_KRS_IKATAN!$B:$N, 12, FALSE)/25, 0)
</f>
        <v>0</v>
      </c>
      <c r="J94" s="26">
        <f t="shared" si="1"/>
        <v>0</v>
      </c>
      <c r="K94" s="27" t="str">
        <f t="shared" si="2"/>
        <v>GGG</v>
      </c>
    </row>
    <row r="95" ht="30.75" customHeight="1">
      <c r="A95" s="20">
        <v>93.0</v>
      </c>
      <c r="B95" s="20" t="s">
        <v>618</v>
      </c>
      <c r="C95" s="21" t="s">
        <v>619</v>
      </c>
      <c r="D95" s="20" t="s">
        <v>146</v>
      </c>
      <c r="E95" s="20" t="s">
        <v>18</v>
      </c>
      <c r="F95" s="20" t="s">
        <v>11</v>
      </c>
      <c r="G95" s="22">
        <f>IFERROR(VLOOKUP($B95, MARKAH_KRS_KAWAD!$B:$BD, 54, FALSE)/137,0)</f>
        <v>0</v>
      </c>
      <c r="H95" s="22">
        <f>IFERROR(VLOOKUP($B95, MARKAH_KRS_BANTU_MULA!$B:$L, 11, FALSE)/20, 0)
</f>
        <v>0</v>
      </c>
      <c r="I95" s="22">
        <f>IFERROR(VLOOKUP($B95, MARKAH_KRS_IKATAN!$B:$N, 12, FALSE)/25, 0)
</f>
        <v>0</v>
      </c>
      <c r="J95" s="22">
        <f t="shared" si="1"/>
        <v>0</v>
      </c>
      <c r="K95" s="23" t="str">
        <f t="shared" si="2"/>
        <v>GGG</v>
      </c>
    </row>
    <row r="96" ht="30.75" customHeight="1">
      <c r="A96" s="24">
        <v>94.0</v>
      </c>
      <c r="B96" s="24" t="s">
        <v>620</v>
      </c>
      <c r="C96" s="25" t="s">
        <v>621</v>
      </c>
      <c r="D96" s="24" t="s">
        <v>146</v>
      </c>
      <c r="E96" s="24" t="s">
        <v>18</v>
      </c>
      <c r="F96" s="24" t="s">
        <v>11</v>
      </c>
      <c r="G96" s="26">
        <f>IFERROR(VLOOKUP($B96, MARKAH_KRS_KAWAD!$B:$BD, 54, FALSE)/137,0)</f>
        <v>0</v>
      </c>
      <c r="H96" s="26">
        <f>IFERROR(VLOOKUP($B96, MARKAH_KRS_BANTU_MULA!$B:$L, 11, FALSE)/20, 0)
</f>
        <v>0</v>
      </c>
      <c r="I96" s="26">
        <f>IFERROR(VLOOKUP($B96, MARKAH_KRS_IKATAN!$B:$N, 12, FALSE)/25, 0)
</f>
        <v>0</v>
      </c>
      <c r="J96" s="26">
        <f t="shared" si="1"/>
        <v>0</v>
      </c>
      <c r="K96" s="27" t="str">
        <f t="shared" si="2"/>
        <v>GGG</v>
      </c>
    </row>
    <row r="97" ht="30.75" customHeight="1">
      <c r="A97" s="20">
        <v>95.0</v>
      </c>
      <c r="B97" s="20" t="s">
        <v>622</v>
      </c>
      <c r="C97" s="21" t="s">
        <v>623</v>
      </c>
      <c r="D97" s="20" t="s">
        <v>166</v>
      </c>
      <c r="E97" s="20" t="s">
        <v>18</v>
      </c>
      <c r="F97" s="20" t="s">
        <v>11</v>
      </c>
      <c r="G97" s="22">
        <f>IFERROR(VLOOKUP($B97, MARKAH_KRS_KAWAD!$B:$BD, 54, FALSE)/137,0)</f>
        <v>0</v>
      </c>
      <c r="H97" s="22">
        <f>IFERROR(VLOOKUP($B97, MARKAH_KRS_BANTU_MULA!$B:$L, 11, FALSE)/20, 0)
</f>
        <v>0</v>
      </c>
      <c r="I97" s="22">
        <f>IFERROR(VLOOKUP($B97, MARKAH_KRS_IKATAN!$B:$N, 12, FALSE)/25, 0)
</f>
        <v>0</v>
      </c>
      <c r="J97" s="22">
        <f t="shared" si="1"/>
        <v>0</v>
      </c>
      <c r="K97" s="23" t="str">
        <f t="shared" si="2"/>
        <v>GGG</v>
      </c>
    </row>
    <row r="98" ht="30.75" customHeight="1">
      <c r="A98" s="24">
        <v>96.0</v>
      </c>
      <c r="B98" s="24" t="s">
        <v>624</v>
      </c>
      <c r="C98" s="25" t="s">
        <v>625</v>
      </c>
      <c r="D98" s="24" t="s">
        <v>226</v>
      </c>
      <c r="E98" s="24" t="s">
        <v>18</v>
      </c>
      <c r="F98" s="24" t="s">
        <v>11</v>
      </c>
      <c r="G98" s="26">
        <f>IFERROR(VLOOKUP($B98, MARKAH_KRS_KAWAD!$B:$BD, 54, FALSE)/137,0)</f>
        <v>0</v>
      </c>
      <c r="H98" s="26">
        <f>IFERROR(VLOOKUP($B98, MARKAH_KRS_BANTU_MULA!$B:$L, 11, FALSE)/20, 0)
</f>
        <v>0</v>
      </c>
      <c r="I98" s="26">
        <f>IFERROR(VLOOKUP($B98, MARKAH_KRS_IKATAN!$B:$N, 12, FALSE)/25, 0)
</f>
        <v>0</v>
      </c>
      <c r="J98" s="26">
        <f t="shared" si="1"/>
        <v>0</v>
      </c>
      <c r="K98" s="27" t="str">
        <f t="shared" si="2"/>
        <v>GGG</v>
      </c>
    </row>
    <row r="99" ht="30.75" customHeight="1">
      <c r="A99" s="20">
        <v>97.0</v>
      </c>
      <c r="B99" s="20" t="s">
        <v>626</v>
      </c>
      <c r="C99" s="21" t="s">
        <v>627</v>
      </c>
      <c r="D99" s="20" t="s">
        <v>55</v>
      </c>
      <c r="E99" s="20" t="s">
        <v>18</v>
      </c>
      <c r="F99" s="20" t="s">
        <v>38</v>
      </c>
      <c r="G99" s="22">
        <f>IFERROR(VLOOKUP($B99, MARKAH_KRS_KAWAD!$B:$BD, 54, FALSE)/137,0)</f>
        <v>0</v>
      </c>
      <c r="H99" s="22">
        <f>IFERROR(VLOOKUP($B99, MARKAH_KRS_BANTU_MULA!$B:$L, 11, FALSE)/20, 0)
</f>
        <v>0</v>
      </c>
      <c r="I99" s="22">
        <f>IFERROR(VLOOKUP($B99, MARKAH_KRS_IKATAN!$B:$N, 12, FALSE)/25, 0)
</f>
        <v>0</v>
      </c>
      <c r="J99" s="22">
        <f t="shared" si="1"/>
        <v>0</v>
      </c>
      <c r="K99" s="23" t="str">
        <f t="shared" si="2"/>
        <v>GGG</v>
      </c>
    </row>
    <row r="100" ht="30.75" customHeight="1">
      <c r="A100" s="24">
        <v>98.0</v>
      </c>
      <c r="B100" s="24" t="s">
        <v>628</v>
      </c>
      <c r="C100" s="25" t="s">
        <v>629</v>
      </c>
      <c r="D100" s="24" t="s">
        <v>55</v>
      </c>
      <c r="E100" s="24" t="s">
        <v>18</v>
      </c>
      <c r="F100" s="24" t="s">
        <v>11</v>
      </c>
      <c r="G100" s="26">
        <f>IFERROR(VLOOKUP($B100, MARKAH_KRS_KAWAD!$B:$BD, 54, FALSE)/137,0)</f>
        <v>0</v>
      </c>
      <c r="H100" s="26">
        <f>IFERROR(VLOOKUP($B100, MARKAH_KRS_BANTU_MULA!$B:$L, 11, FALSE)/20, 0)
</f>
        <v>0</v>
      </c>
      <c r="I100" s="26">
        <f>IFERROR(VLOOKUP($B100, MARKAH_KRS_IKATAN!$B:$N, 12, FALSE)/25, 0)
</f>
        <v>0</v>
      </c>
      <c r="J100" s="26">
        <f t="shared" si="1"/>
        <v>0</v>
      </c>
      <c r="K100" s="27" t="str">
        <f t="shared" si="2"/>
        <v>GGG</v>
      </c>
    </row>
    <row r="101" ht="30.75" customHeight="1">
      <c r="A101" s="20">
        <v>99.0</v>
      </c>
      <c r="B101" s="20" t="s">
        <v>630</v>
      </c>
      <c r="C101" s="21" t="s">
        <v>631</v>
      </c>
      <c r="D101" s="20" t="s">
        <v>309</v>
      </c>
      <c r="E101" s="20" t="s">
        <v>18</v>
      </c>
      <c r="F101" s="20" t="s">
        <v>11</v>
      </c>
      <c r="G101" s="22">
        <f>IFERROR(VLOOKUP($B101, MARKAH_KRS_KAWAD!$B:$BD, 54, FALSE)/137,0)</f>
        <v>0</v>
      </c>
      <c r="H101" s="22">
        <f>IFERROR(VLOOKUP($B101, MARKAH_KRS_BANTU_MULA!$B:$L, 11, FALSE)/20, 0)
</f>
        <v>0</v>
      </c>
      <c r="I101" s="22">
        <f>IFERROR(VLOOKUP($B101, MARKAH_KRS_IKATAN!$B:$N, 12, FALSE)/25, 0)
</f>
        <v>0</v>
      </c>
      <c r="J101" s="22">
        <f t="shared" si="1"/>
        <v>0</v>
      </c>
      <c r="K101" s="23" t="str">
        <f t="shared" si="2"/>
        <v>GGG</v>
      </c>
    </row>
    <row r="102" ht="30.75" customHeight="1">
      <c r="A102" s="24">
        <v>100.0</v>
      </c>
      <c r="B102" s="24" t="s">
        <v>633</v>
      </c>
      <c r="C102" s="25" t="s">
        <v>634</v>
      </c>
      <c r="D102" s="24" t="s">
        <v>323</v>
      </c>
      <c r="E102" s="24" t="s">
        <v>18</v>
      </c>
      <c r="F102" s="24" t="s">
        <v>11</v>
      </c>
      <c r="G102" s="26">
        <f>IFERROR(VLOOKUP($B102, MARKAH_KRS_KAWAD!$B:$BD, 54, FALSE)/137,0)</f>
        <v>0</v>
      </c>
      <c r="H102" s="26">
        <f>IFERROR(VLOOKUP($B102, MARKAH_KRS_BANTU_MULA!$B:$L, 11, FALSE)/20, 0)
</f>
        <v>0</v>
      </c>
      <c r="I102" s="26">
        <f>IFERROR(VLOOKUP($B102, MARKAH_KRS_IKATAN!$B:$N, 12, FALSE)/25, 0)
</f>
        <v>0</v>
      </c>
      <c r="J102" s="26">
        <f t="shared" si="1"/>
        <v>0</v>
      </c>
      <c r="K102" s="27" t="str">
        <f t="shared" si="2"/>
        <v>GGG</v>
      </c>
    </row>
    <row r="103" ht="30.75" customHeight="1">
      <c r="A103" s="20">
        <v>101.0</v>
      </c>
      <c r="B103" s="20" t="s">
        <v>635</v>
      </c>
      <c r="C103" s="21" t="s">
        <v>636</v>
      </c>
      <c r="D103" s="20" t="s">
        <v>336</v>
      </c>
      <c r="E103" s="20" t="s">
        <v>18</v>
      </c>
      <c r="F103" s="20" t="s">
        <v>11</v>
      </c>
      <c r="G103" s="22">
        <f>IFERROR(VLOOKUP($B103, MARKAH_KRS_KAWAD!$B:$BD, 54, FALSE)/137,0)</f>
        <v>0</v>
      </c>
      <c r="H103" s="22">
        <f>IFERROR(VLOOKUP($B103, MARKAH_KRS_BANTU_MULA!$B:$L, 11, FALSE)/20, 0)
</f>
        <v>0</v>
      </c>
      <c r="I103" s="22">
        <f>IFERROR(VLOOKUP($B103, MARKAH_KRS_IKATAN!$B:$N, 12, FALSE)/25, 0)
</f>
        <v>0</v>
      </c>
      <c r="J103" s="22">
        <f t="shared" si="1"/>
        <v>0</v>
      </c>
      <c r="K103" s="23" t="str">
        <f t="shared" si="2"/>
        <v>GGG</v>
      </c>
    </row>
    <row r="104" ht="30.75" customHeight="1">
      <c r="A104" s="24">
        <v>102.0</v>
      </c>
      <c r="B104" s="24" t="s">
        <v>637</v>
      </c>
      <c r="C104" s="25" t="s">
        <v>638</v>
      </c>
      <c r="D104" s="24" t="s">
        <v>349</v>
      </c>
      <c r="E104" s="24" t="s">
        <v>18</v>
      </c>
      <c r="F104" s="24" t="s">
        <v>11</v>
      </c>
      <c r="G104" s="26">
        <f>IFERROR(VLOOKUP($B104, MARKAH_KRS_KAWAD!$B:$BD, 54, FALSE)/137,0)</f>
        <v>0</v>
      </c>
      <c r="H104" s="26">
        <f>IFERROR(VLOOKUP($B104, MARKAH_KRS_BANTU_MULA!$B:$L, 11, FALSE)/20, 0)
</f>
        <v>0</v>
      </c>
      <c r="I104" s="26">
        <f>IFERROR(VLOOKUP($B104, MARKAH_KRS_IKATAN!$B:$N, 12, FALSE)/25, 0)
</f>
        <v>0</v>
      </c>
      <c r="J104" s="26">
        <f t="shared" si="1"/>
        <v>0</v>
      </c>
      <c r="K104" s="27" t="str">
        <f t="shared" si="2"/>
        <v>GGG</v>
      </c>
    </row>
    <row r="105" ht="30.75" customHeight="1">
      <c r="A105" s="20">
        <v>103.0</v>
      </c>
      <c r="B105" s="20" t="s">
        <v>639</v>
      </c>
      <c r="C105" s="21" t="s">
        <v>640</v>
      </c>
      <c r="D105" s="20" t="s">
        <v>16</v>
      </c>
      <c r="E105" s="20" t="s">
        <v>18</v>
      </c>
      <c r="F105" s="20" t="s">
        <v>11</v>
      </c>
      <c r="G105" s="22">
        <f>IFERROR(VLOOKUP($B105, MARKAH_KRS_KAWAD!$B:$BD, 54, FALSE)/137,0)</f>
        <v>0</v>
      </c>
      <c r="H105" s="22">
        <f>IFERROR(VLOOKUP($B105, MARKAH_KRS_BANTU_MULA!$B:$L, 11, FALSE)/20, 0)
</f>
        <v>0</v>
      </c>
      <c r="I105" s="22">
        <f>IFERROR(VLOOKUP($B105, MARKAH_KRS_IKATAN!$B:$N, 12, FALSE)/25, 0)
</f>
        <v>0</v>
      </c>
      <c r="J105" s="22">
        <f t="shared" si="1"/>
        <v>0</v>
      </c>
      <c r="K105" s="23" t="str">
        <f t="shared" si="2"/>
        <v>GGG</v>
      </c>
    </row>
    <row r="106" ht="30.75" customHeight="1">
      <c r="A106" s="24">
        <v>104.0</v>
      </c>
      <c r="B106" s="24" t="s">
        <v>641</v>
      </c>
      <c r="C106" s="25" t="s">
        <v>642</v>
      </c>
      <c r="D106" s="24" t="s">
        <v>140</v>
      </c>
      <c r="E106" s="24" t="s">
        <v>18</v>
      </c>
      <c r="F106" s="24" t="s">
        <v>11</v>
      </c>
      <c r="G106" s="26">
        <f>IFERROR(VLOOKUP($B106, MARKAH_KRS_KAWAD!$B:$BD, 54, FALSE)/137,0)</f>
        <v>0</v>
      </c>
      <c r="H106" s="26">
        <f>IFERROR(VLOOKUP($B106, MARKAH_KRS_BANTU_MULA!$B:$L, 11, FALSE)/20, 0)
</f>
        <v>0</v>
      </c>
      <c r="I106" s="26">
        <f>IFERROR(VLOOKUP($B106, MARKAH_KRS_IKATAN!$B:$N, 12, FALSE)/25, 0)
</f>
        <v>0</v>
      </c>
      <c r="J106" s="26">
        <f t="shared" si="1"/>
        <v>0</v>
      </c>
      <c r="K106" s="27" t="str">
        <f t="shared" si="2"/>
        <v>GGG</v>
      </c>
    </row>
    <row r="107" ht="30.75" customHeight="1">
      <c r="A107" s="20">
        <v>105.0</v>
      </c>
      <c r="B107" s="20" t="s">
        <v>643</v>
      </c>
      <c r="C107" s="21" t="s">
        <v>644</v>
      </c>
      <c r="D107" s="20" t="s">
        <v>50</v>
      </c>
      <c r="E107" s="20" t="s">
        <v>18</v>
      </c>
      <c r="F107" s="20" t="s">
        <v>11</v>
      </c>
      <c r="G107" s="22">
        <f>IFERROR(VLOOKUP($B107, MARKAH_KRS_KAWAD!$B:$BD, 54, FALSE)/137,0)</f>
        <v>0</v>
      </c>
      <c r="H107" s="22">
        <f>IFERROR(VLOOKUP($B107, MARKAH_KRS_BANTU_MULA!$B:$L, 11, FALSE)/20, 0)
</f>
        <v>0</v>
      </c>
      <c r="I107" s="22">
        <f>IFERROR(VLOOKUP($B107, MARKAH_KRS_IKATAN!$B:$N, 12, FALSE)/25, 0)
</f>
        <v>0</v>
      </c>
      <c r="J107" s="22">
        <f t="shared" si="1"/>
        <v>0</v>
      </c>
      <c r="K107" s="23" t="str">
        <f t="shared" si="2"/>
        <v>GGG</v>
      </c>
    </row>
    <row r="108" ht="30.75" customHeight="1">
      <c r="A108" s="24">
        <v>106.0</v>
      </c>
      <c r="B108" s="24" t="s">
        <v>645</v>
      </c>
      <c r="C108" s="25" t="s">
        <v>647</v>
      </c>
      <c r="D108" s="24" t="s">
        <v>72</v>
      </c>
      <c r="E108" s="24" t="s">
        <v>18</v>
      </c>
      <c r="F108" s="24" t="s">
        <v>11</v>
      </c>
      <c r="G108" s="26">
        <f>IFERROR(VLOOKUP($B108, MARKAH_KRS_KAWAD!$B:$BD, 54, FALSE)/137,0)</f>
        <v>0</v>
      </c>
      <c r="H108" s="26">
        <f>IFERROR(VLOOKUP($B108, MARKAH_KRS_BANTU_MULA!$B:$L, 11, FALSE)/20, 0)
</f>
        <v>0</v>
      </c>
      <c r="I108" s="26">
        <f>IFERROR(VLOOKUP($B108, MARKAH_KRS_IKATAN!$B:$N, 12, FALSE)/25, 0)
</f>
        <v>0</v>
      </c>
      <c r="J108" s="26">
        <f t="shared" si="1"/>
        <v>0</v>
      </c>
      <c r="K108" s="27" t="str">
        <f t="shared" si="2"/>
        <v>GGG</v>
      </c>
    </row>
    <row r="109" ht="30.75" customHeight="1">
      <c r="A109" s="20">
        <v>107.0</v>
      </c>
      <c r="B109" s="20" t="s">
        <v>648</v>
      </c>
      <c r="C109" s="21" t="s">
        <v>649</v>
      </c>
      <c r="D109" s="20" t="s">
        <v>435</v>
      </c>
      <c r="E109" s="20" t="s">
        <v>18</v>
      </c>
      <c r="F109" s="20" t="s">
        <v>11</v>
      </c>
      <c r="G109" s="22">
        <f>IFERROR(VLOOKUP($B109, MARKAH_KRS_KAWAD!$B:$BD, 54, FALSE)/137,0)</f>
        <v>0</v>
      </c>
      <c r="H109" s="22">
        <f>IFERROR(VLOOKUP($B109, MARKAH_KRS_BANTU_MULA!$B:$L, 11, FALSE)/20, 0)
</f>
        <v>0</v>
      </c>
      <c r="I109" s="22">
        <f>IFERROR(VLOOKUP($B109, MARKAH_KRS_IKATAN!$B:$N, 12, FALSE)/25, 0)
</f>
        <v>0</v>
      </c>
      <c r="J109" s="22">
        <f t="shared" si="1"/>
        <v>0</v>
      </c>
      <c r="K109" s="23" t="str">
        <f t="shared" si="2"/>
        <v>GGG</v>
      </c>
    </row>
    <row r="110" ht="30.75" customHeight="1">
      <c r="A110" s="24">
        <v>108.0</v>
      </c>
      <c r="B110" s="24" t="s">
        <v>652</v>
      </c>
      <c r="C110" s="25" t="s">
        <v>653</v>
      </c>
      <c r="D110" s="24" t="s">
        <v>254</v>
      </c>
      <c r="E110" s="24" t="s">
        <v>18</v>
      </c>
      <c r="F110" s="24" t="s">
        <v>38</v>
      </c>
      <c r="G110" s="26">
        <f>IFERROR(VLOOKUP($B110, MARKAH_KRS_KAWAD!$B:$BD, 54, FALSE)/137,0)</f>
        <v>0</v>
      </c>
      <c r="H110" s="26">
        <f>IFERROR(VLOOKUP($B110, MARKAH_KRS_BANTU_MULA!$B:$L, 11, FALSE)/20, 0)
</f>
        <v>0</v>
      </c>
      <c r="I110" s="26">
        <f>IFERROR(VLOOKUP($B110, MARKAH_KRS_IKATAN!$B:$N, 12, FALSE)/25, 0)
</f>
        <v>0</v>
      </c>
      <c r="J110" s="26">
        <f t="shared" si="1"/>
        <v>0</v>
      </c>
      <c r="K110" s="27" t="str">
        <f t="shared" si="2"/>
        <v>GGG</v>
      </c>
    </row>
    <row r="111" ht="30.75" customHeight="1">
      <c r="A111" s="20">
        <v>109.0</v>
      </c>
      <c r="B111" s="20" t="s">
        <v>654</v>
      </c>
      <c r="C111" s="21" t="s">
        <v>655</v>
      </c>
      <c r="D111" s="20" t="s">
        <v>254</v>
      </c>
      <c r="E111" s="20" t="s">
        <v>18</v>
      </c>
      <c r="F111" s="20" t="s">
        <v>38</v>
      </c>
      <c r="G111" s="22">
        <f>IFERROR(VLOOKUP($B111, MARKAH_KRS_KAWAD!$B:$BD, 54, FALSE)/137,0)</f>
        <v>0</v>
      </c>
      <c r="H111" s="22">
        <f>IFERROR(VLOOKUP($B111, MARKAH_KRS_BANTU_MULA!$B:$L, 11, FALSE)/20, 0)
</f>
        <v>0</v>
      </c>
      <c r="I111" s="22">
        <f>IFERROR(VLOOKUP($B111, MARKAH_KRS_IKATAN!$B:$N, 12, FALSE)/25, 0)
</f>
        <v>0</v>
      </c>
      <c r="J111" s="22">
        <f t="shared" si="1"/>
        <v>0</v>
      </c>
      <c r="K111" s="23" t="str">
        <f t="shared" si="2"/>
        <v>GGG</v>
      </c>
    </row>
    <row r="112" ht="30.75" customHeight="1">
      <c r="A112" s="24">
        <v>110.0</v>
      </c>
      <c r="B112" s="24" t="s">
        <v>657</v>
      </c>
      <c r="C112" s="25" t="s">
        <v>658</v>
      </c>
      <c r="D112" s="24" t="s">
        <v>132</v>
      </c>
      <c r="E112" s="24" t="s">
        <v>18</v>
      </c>
      <c r="F112" s="24" t="s">
        <v>11</v>
      </c>
      <c r="G112" s="26">
        <f>IFERROR(VLOOKUP($B112, MARKAH_KRS_KAWAD!$B:$BD, 54, FALSE)/137,0)</f>
        <v>0</v>
      </c>
      <c r="H112" s="26">
        <f>IFERROR(VLOOKUP($B112, MARKAH_KRS_BANTU_MULA!$B:$L, 11, FALSE)/20, 0)
</f>
        <v>0</v>
      </c>
      <c r="I112" s="26">
        <f>IFERROR(VLOOKUP($B112, MARKAH_KRS_IKATAN!$B:$N, 12, FALSE)/25, 0)
</f>
        <v>0</v>
      </c>
      <c r="J112" s="26">
        <f t="shared" si="1"/>
        <v>0</v>
      </c>
      <c r="K112" s="27" t="str">
        <f t="shared" si="2"/>
        <v>GGG</v>
      </c>
    </row>
    <row r="113" ht="30.75" customHeight="1">
      <c r="A113" s="20">
        <v>111.0</v>
      </c>
      <c r="B113" s="20" t="s">
        <v>661</v>
      </c>
      <c r="C113" s="21" t="s">
        <v>662</v>
      </c>
      <c r="D113" s="20" t="s">
        <v>125</v>
      </c>
      <c r="E113" s="20" t="s">
        <v>18</v>
      </c>
      <c r="F113" s="20" t="s">
        <v>38</v>
      </c>
      <c r="G113" s="22">
        <f>IFERROR(VLOOKUP($B113, MARKAH_KRS_KAWAD!$B:$BD, 54, FALSE)/137,0)</f>
        <v>0</v>
      </c>
      <c r="H113" s="22">
        <f>IFERROR(VLOOKUP($B113, MARKAH_KRS_BANTU_MULA!$B:$L, 11, FALSE)/20, 0)
</f>
        <v>0</v>
      </c>
      <c r="I113" s="22">
        <f>IFERROR(VLOOKUP($B113, MARKAH_KRS_IKATAN!$B:$N, 12, FALSE)/25, 0)
</f>
        <v>0</v>
      </c>
      <c r="J113" s="22">
        <f t="shared" si="1"/>
        <v>0</v>
      </c>
      <c r="K113" s="23" t="str">
        <f t="shared" si="2"/>
        <v>GGG</v>
      </c>
    </row>
    <row r="114" ht="30.75" customHeight="1">
      <c r="A114" s="24">
        <v>112.0</v>
      </c>
      <c r="B114" s="24" t="s">
        <v>664</v>
      </c>
      <c r="C114" s="25" t="s">
        <v>665</v>
      </c>
      <c r="D114" s="24" t="s">
        <v>146</v>
      </c>
      <c r="E114" s="24" t="s">
        <v>18</v>
      </c>
      <c r="F114" s="24" t="s">
        <v>11</v>
      </c>
      <c r="G114" s="26">
        <f>IFERROR(VLOOKUP($B114, MARKAH_KRS_KAWAD!$B:$BD, 54, FALSE)/137,0)</f>
        <v>0</v>
      </c>
      <c r="H114" s="26">
        <f>IFERROR(VLOOKUP($B114, MARKAH_KRS_BANTU_MULA!$B:$L, 11, FALSE)/20, 0)
</f>
        <v>0</v>
      </c>
      <c r="I114" s="26">
        <f>IFERROR(VLOOKUP($B114, MARKAH_KRS_IKATAN!$B:$N, 12, FALSE)/25, 0)
</f>
        <v>0</v>
      </c>
      <c r="J114" s="26">
        <f t="shared" si="1"/>
        <v>0</v>
      </c>
      <c r="K114" s="27" t="str">
        <f t="shared" si="2"/>
        <v>GGG</v>
      </c>
    </row>
    <row r="115" ht="30.75" customHeight="1">
      <c r="A115" s="20">
        <v>113.0</v>
      </c>
      <c r="B115" s="20" t="s">
        <v>668</v>
      </c>
      <c r="C115" s="21" t="s">
        <v>669</v>
      </c>
      <c r="D115" s="20" t="s">
        <v>146</v>
      </c>
      <c r="E115" s="20" t="s">
        <v>18</v>
      </c>
      <c r="F115" s="20" t="s">
        <v>11</v>
      </c>
      <c r="G115" s="22">
        <f>IFERROR(VLOOKUP($B115, MARKAH_KRS_KAWAD!$B:$BD, 54, FALSE)/137,0)</f>
        <v>0</v>
      </c>
      <c r="H115" s="22">
        <f>IFERROR(VLOOKUP($B115, MARKAH_KRS_BANTU_MULA!$B:$L, 11, FALSE)/20, 0)
</f>
        <v>0</v>
      </c>
      <c r="I115" s="22">
        <f>IFERROR(VLOOKUP($B115, MARKAH_KRS_IKATAN!$B:$N, 12, FALSE)/25, 0)
</f>
        <v>0</v>
      </c>
      <c r="J115" s="22">
        <f t="shared" si="1"/>
        <v>0</v>
      </c>
      <c r="K115" s="23" t="str">
        <f t="shared" si="2"/>
        <v>GGG</v>
      </c>
    </row>
    <row r="116" ht="30.75" customHeight="1">
      <c r="A116" s="24">
        <v>114.0</v>
      </c>
      <c r="B116" s="24" t="s">
        <v>670</v>
      </c>
      <c r="C116" s="25" t="s">
        <v>671</v>
      </c>
      <c r="D116" s="24" t="s">
        <v>146</v>
      </c>
      <c r="E116" s="24" t="s">
        <v>18</v>
      </c>
      <c r="F116" s="24" t="s">
        <v>11</v>
      </c>
      <c r="G116" s="26">
        <f>IFERROR(VLOOKUP($B116, MARKAH_KRS_KAWAD!$B:$BD, 54, FALSE)/137,0)</f>
        <v>0</v>
      </c>
      <c r="H116" s="26">
        <f>IFERROR(VLOOKUP($B116, MARKAH_KRS_BANTU_MULA!$B:$L, 11, FALSE)/20, 0)
</f>
        <v>0</v>
      </c>
      <c r="I116" s="26">
        <f>IFERROR(VLOOKUP($B116, MARKAH_KRS_IKATAN!$B:$N, 12, FALSE)/25, 0)
</f>
        <v>0</v>
      </c>
      <c r="J116" s="26">
        <f t="shared" si="1"/>
        <v>0</v>
      </c>
      <c r="K116" s="27" t="str">
        <f t="shared" si="2"/>
        <v>GGG</v>
      </c>
    </row>
    <row r="117" ht="30.75" customHeight="1">
      <c r="A117" s="20">
        <v>115.0</v>
      </c>
      <c r="B117" s="20" t="s">
        <v>672</v>
      </c>
      <c r="C117" s="21" t="s">
        <v>673</v>
      </c>
      <c r="D117" s="20" t="s">
        <v>203</v>
      </c>
      <c r="E117" s="20" t="s">
        <v>18</v>
      </c>
      <c r="F117" s="20" t="s">
        <v>11</v>
      </c>
      <c r="G117" s="22">
        <f>IFERROR(VLOOKUP($B117, MARKAH_KRS_KAWAD!$B:$BD, 54, FALSE)/137,0)</f>
        <v>0</v>
      </c>
      <c r="H117" s="22">
        <f>IFERROR(VLOOKUP($B117, MARKAH_KRS_BANTU_MULA!$B:$L, 11, FALSE)/20, 0)
</f>
        <v>0</v>
      </c>
      <c r="I117" s="22">
        <f>IFERROR(VLOOKUP($B117, MARKAH_KRS_IKATAN!$B:$N, 12, FALSE)/25, 0)
</f>
        <v>0</v>
      </c>
      <c r="J117" s="22">
        <f t="shared" si="1"/>
        <v>0</v>
      </c>
      <c r="K117" s="23" t="str">
        <f t="shared" si="2"/>
        <v>GGG</v>
      </c>
    </row>
    <row r="118" ht="30.75" customHeight="1">
      <c r="A118" s="24">
        <v>116.0</v>
      </c>
      <c r="B118" s="24" t="s">
        <v>674</v>
      </c>
      <c r="C118" s="25" t="s">
        <v>675</v>
      </c>
      <c r="D118" s="24" t="s">
        <v>226</v>
      </c>
      <c r="E118" s="24" t="s">
        <v>18</v>
      </c>
      <c r="F118" s="24" t="s">
        <v>11</v>
      </c>
      <c r="G118" s="26">
        <f>IFERROR(VLOOKUP($B118, MARKAH_KRS_KAWAD!$B:$BD, 54, FALSE)/137,0)</f>
        <v>0</v>
      </c>
      <c r="H118" s="26">
        <f>IFERROR(VLOOKUP($B118, MARKAH_KRS_BANTU_MULA!$B:$L, 11, FALSE)/20, 0)
</f>
        <v>0</v>
      </c>
      <c r="I118" s="26">
        <f>IFERROR(VLOOKUP($B118, MARKAH_KRS_IKATAN!$B:$N, 12, FALSE)/25, 0)
</f>
        <v>0</v>
      </c>
      <c r="J118" s="26">
        <f t="shared" si="1"/>
        <v>0</v>
      </c>
      <c r="K118" s="27" t="str">
        <f t="shared" si="2"/>
        <v>GGG</v>
      </c>
    </row>
    <row r="119" ht="30.75" customHeight="1">
      <c r="A119" s="20">
        <v>117.0</v>
      </c>
      <c r="B119" s="20" t="s">
        <v>676</v>
      </c>
      <c r="C119" s="21" t="s">
        <v>677</v>
      </c>
      <c r="D119" s="20" t="s">
        <v>238</v>
      </c>
      <c r="E119" s="20" t="s">
        <v>18</v>
      </c>
      <c r="F119" s="20" t="s">
        <v>11</v>
      </c>
      <c r="G119" s="22">
        <f>IFERROR(VLOOKUP($B119, MARKAH_KRS_KAWAD!$B:$BD, 54, FALSE)/137,0)</f>
        <v>0</v>
      </c>
      <c r="H119" s="22">
        <f>IFERROR(VLOOKUP($B119, MARKAH_KRS_BANTU_MULA!$B:$L, 11, FALSE)/20, 0)
</f>
        <v>0</v>
      </c>
      <c r="I119" s="22">
        <f>IFERROR(VLOOKUP($B119, MARKAH_KRS_IKATAN!$B:$N, 12, FALSE)/25, 0)
</f>
        <v>0</v>
      </c>
      <c r="J119" s="22">
        <f t="shared" si="1"/>
        <v>0</v>
      </c>
      <c r="K119" s="23" t="str">
        <f t="shared" si="2"/>
        <v>GGG</v>
      </c>
    </row>
    <row r="120" ht="30.75" customHeight="1">
      <c r="A120" s="24">
        <v>118.0</v>
      </c>
      <c r="B120" s="24" t="s">
        <v>678</v>
      </c>
      <c r="C120" s="25" t="s">
        <v>679</v>
      </c>
      <c r="D120" s="24" t="s">
        <v>55</v>
      </c>
      <c r="E120" s="24" t="s">
        <v>18</v>
      </c>
      <c r="F120" s="24" t="s">
        <v>11</v>
      </c>
      <c r="G120" s="26">
        <f>IFERROR(VLOOKUP($B120, MARKAH_KRS_KAWAD!$B:$BD, 54, FALSE)/137,0)</f>
        <v>0</v>
      </c>
      <c r="H120" s="26">
        <f>IFERROR(VLOOKUP($B120, MARKAH_KRS_BANTU_MULA!$B:$L, 11, FALSE)/20, 0)
</f>
        <v>0</v>
      </c>
      <c r="I120" s="26">
        <f>IFERROR(VLOOKUP($B120, MARKAH_KRS_IKATAN!$B:$N, 12, FALSE)/25, 0)
</f>
        <v>0</v>
      </c>
      <c r="J120" s="26">
        <f t="shared" si="1"/>
        <v>0</v>
      </c>
      <c r="K120" s="27" t="str">
        <f t="shared" si="2"/>
        <v>GGG</v>
      </c>
    </row>
    <row r="121" ht="30.75" customHeight="1">
      <c r="A121" s="20">
        <v>119.0</v>
      </c>
      <c r="B121" s="20" t="s">
        <v>680</v>
      </c>
      <c r="C121" s="21" t="s">
        <v>681</v>
      </c>
      <c r="D121" s="20" t="s">
        <v>55</v>
      </c>
      <c r="E121" s="20" t="s">
        <v>18</v>
      </c>
      <c r="F121" s="20" t="s">
        <v>11</v>
      </c>
      <c r="G121" s="22">
        <f>IFERROR(VLOOKUP($B121, MARKAH_KRS_KAWAD!$B:$BD, 54, FALSE)/137,0)</f>
        <v>0</v>
      </c>
      <c r="H121" s="22">
        <f>IFERROR(VLOOKUP($B121, MARKAH_KRS_BANTU_MULA!$B:$L, 11, FALSE)/20, 0)
</f>
        <v>0</v>
      </c>
      <c r="I121" s="22">
        <f>IFERROR(VLOOKUP($B121, MARKAH_KRS_IKATAN!$B:$N, 12, FALSE)/25, 0)
</f>
        <v>0</v>
      </c>
      <c r="J121" s="22">
        <f t="shared" si="1"/>
        <v>0</v>
      </c>
      <c r="K121" s="23" t="str">
        <f t="shared" si="2"/>
        <v>GGG</v>
      </c>
    </row>
    <row r="122" ht="30.75" customHeight="1">
      <c r="A122" s="24">
        <v>120.0</v>
      </c>
      <c r="B122" s="24" t="s">
        <v>682</v>
      </c>
      <c r="C122" s="25" t="s">
        <v>683</v>
      </c>
      <c r="D122" s="24" t="s">
        <v>309</v>
      </c>
      <c r="E122" s="24" t="s">
        <v>18</v>
      </c>
      <c r="F122" s="24" t="s">
        <v>38</v>
      </c>
      <c r="G122" s="26">
        <f>IFERROR(VLOOKUP($B122, MARKAH_KRS_KAWAD!$B:$BD, 54, FALSE)/137,0)</f>
        <v>0</v>
      </c>
      <c r="H122" s="26">
        <f>IFERROR(VLOOKUP($B122, MARKAH_KRS_BANTU_MULA!$B:$L, 11, FALSE)/20, 0)
</f>
        <v>0</v>
      </c>
      <c r="I122" s="26">
        <f>IFERROR(VLOOKUP($B122, MARKAH_KRS_IKATAN!$B:$N, 12, FALSE)/25, 0)
</f>
        <v>0</v>
      </c>
      <c r="J122" s="26">
        <f t="shared" si="1"/>
        <v>0</v>
      </c>
      <c r="K122" s="27" t="str">
        <f t="shared" si="2"/>
        <v>GGG</v>
      </c>
    </row>
    <row r="123" ht="30.75" customHeight="1">
      <c r="A123" s="20">
        <v>121.0</v>
      </c>
      <c r="B123" s="20" t="s">
        <v>684</v>
      </c>
      <c r="C123" s="21" t="s">
        <v>685</v>
      </c>
      <c r="D123" s="20" t="s">
        <v>21</v>
      </c>
      <c r="E123" s="20" t="s">
        <v>18</v>
      </c>
      <c r="F123" s="20" t="s">
        <v>11</v>
      </c>
      <c r="G123" s="22">
        <f>IFERROR(VLOOKUP($B123, MARKAH_KRS_KAWAD!$B:$BD, 54, FALSE)/137,0)</f>
        <v>0</v>
      </c>
      <c r="H123" s="22">
        <f>IFERROR(VLOOKUP($B123, MARKAH_KRS_BANTU_MULA!$B:$L, 11, FALSE)/20, 0)
</f>
        <v>0</v>
      </c>
      <c r="I123" s="22">
        <f>IFERROR(VLOOKUP($B123, MARKAH_KRS_IKATAN!$B:$N, 12, FALSE)/25, 0)
</f>
        <v>0</v>
      </c>
      <c r="J123" s="22">
        <f t="shared" si="1"/>
        <v>0</v>
      </c>
      <c r="K123" s="23" t="str">
        <f t="shared" si="2"/>
        <v>GGG</v>
      </c>
    </row>
    <row r="124" ht="30.75" customHeight="1">
      <c r="A124" s="24">
        <v>122.0</v>
      </c>
      <c r="B124" s="24" t="s">
        <v>686</v>
      </c>
      <c r="C124" s="25" t="s">
        <v>687</v>
      </c>
      <c r="D124" s="24" t="s">
        <v>336</v>
      </c>
      <c r="E124" s="24" t="s">
        <v>18</v>
      </c>
      <c r="F124" s="24" t="s">
        <v>11</v>
      </c>
      <c r="G124" s="26">
        <f>IFERROR(VLOOKUP($B124, MARKAH_KRS_KAWAD!$B:$BD, 54, FALSE)/137,0)</f>
        <v>0</v>
      </c>
      <c r="H124" s="26">
        <f>IFERROR(VLOOKUP($B124, MARKAH_KRS_BANTU_MULA!$B:$L, 11, FALSE)/20, 0)
</f>
        <v>0</v>
      </c>
      <c r="I124" s="26">
        <f>IFERROR(VLOOKUP($B124, MARKAH_KRS_IKATAN!$B:$N, 12, FALSE)/25, 0)
</f>
        <v>0</v>
      </c>
      <c r="J124" s="26">
        <f t="shared" si="1"/>
        <v>0</v>
      </c>
      <c r="K124" s="27" t="str">
        <f t="shared" si="2"/>
        <v>GGG</v>
      </c>
    </row>
    <row r="125" ht="30.75" customHeight="1">
      <c r="A125" s="20">
        <v>123.0</v>
      </c>
      <c r="B125" s="20" t="s">
        <v>688</v>
      </c>
      <c r="C125" s="21" t="s">
        <v>689</v>
      </c>
      <c r="D125" s="20" t="s">
        <v>16</v>
      </c>
      <c r="E125" s="20" t="s">
        <v>18</v>
      </c>
      <c r="F125" s="20" t="s">
        <v>11</v>
      </c>
      <c r="G125" s="22">
        <f>IFERROR(VLOOKUP($B125, MARKAH_KRS_KAWAD!$B:$BD, 54, FALSE)/137,0)</f>
        <v>0</v>
      </c>
      <c r="H125" s="22">
        <f>IFERROR(VLOOKUP($B125, MARKAH_KRS_BANTU_MULA!$B:$L, 11, FALSE)/20, 0)
</f>
        <v>0</v>
      </c>
      <c r="I125" s="22">
        <f>IFERROR(VLOOKUP($B125, MARKAH_KRS_IKATAN!$B:$N, 12, FALSE)/25, 0)
</f>
        <v>0</v>
      </c>
      <c r="J125" s="22">
        <f t="shared" si="1"/>
        <v>0</v>
      </c>
      <c r="K125" s="23" t="str">
        <f t="shared" si="2"/>
        <v>GGG</v>
      </c>
    </row>
    <row r="126" ht="30.75" customHeight="1">
      <c r="A126" s="24">
        <v>124.0</v>
      </c>
      <c r="B126" s="24" t="s">
        <v>690</v>
      </c>
      <c r="C126" s="25" t="s">
        <v>691</v>
      </c>
      <c r="D126" s="24" t="s">
        <v>16</v>
      </c>
      <c r="E126" s="24" t="s">
        <v>18</v>
      </c>
      <c r="F126" s="24" t="s">
        <v>11</v>
      </c>
      <c r="G126" s="26">
        <f>IFERROR(VLOOKUP($B126, MARKAH_KRS_KAWAD!$B:$BD, 54, FALSE)/137,0)</f>
        <v>0</v>
      </c>
      <c r="H126" s="26">
        <f>IFERROR(VLOOKUP($B126, MARKAH_KRS_BANTU_MULA!$B:$L, 11, FALSE)/20, 0)
</f>
        <v>0</v>
      </c>
      <c r="I126" s="26">
        <f>IFERROR(VLOOKUP($B126, MARKAH_KRS_IKATAN!$B:$N, 12, FALSE)/25, 0)
</f>
        <v>0</v>
      </c>
      <c r="J126" s="26">
        <f t="shared" si="1"/>
        <v>0</v>
      </c>
      <c r="K126" s="27" t="str">
        <f t="shared" si="2"/>
        <v>GGG</v>
      </c>
    </row>
    <row r="127" ht="30.75" customHeight="1">
      <c r="A127" s="20">
        <v>125.0</v>
      </c>
      <c r="B127" s="20" t="s">
        <v>692</v>
      </c>
      <c r="C127" s="21" t="s">
        <v>693</v>
      </c>
      <c r="D127" s="20" t="s">
        <v>140</v>
      </c>
      <c r="E127" s="20" t="s">
        <v>18</v>
      </c>
      <c r="F127" s="20" t="s">
        <v>11</v>
      </c>
      <c r="G127" s="22">
        <f>IFERROR(VLOOKUP($B127, MARKAH_KRS_KAWAD!$B:$BD, 54, FALSE)/137,0)</f>
        <v>0</v>
      </c>
      <c r="H127" s="22">
        <f>IFERROR(VLOOKUP($B127, MARKAH_KRS_BANTU_MULA!$B:$L, 11, FALSE)/20, 0)
</f>
        <v>0</v>
      </c>
      <c r="I127" s="22">
        <f>IFERROR(VLOOKUP($B127, MARKAH_KRS_IKATAN!$B:$N, 12, FALSE)/25, 0)
</f>
        <v>0</v>
      </c>
      <c r="J127" s="22">
        <f t="shared" si="1"/>
        <v>0</v>
      </c>
      <c r="K127" s="23" t="str">
        <f t="shared" si="2"/>
        <v>GGG</v>
      </c>
    </row>
    <row r="128" ht="30.75" customHeight="1">
      <c r="A128" s="24">
        <v>126.0</v>
      </c>
      <c r="B128" s="24" t="s">
        <v>694</v>
      </c>
      <c r="C128" s="25" t="s">
        <v>695</v>
      </c>
      <c r="D128" s="24" t="s">
        <v>50</v>
      </c>
      <c r="E128" s="24" t="s">
        <v>18</v>
      </c>
      <c r="F128" s="24" t="s">
        <v>11</v>
      </c>
      <c r="G128" s="26">
        <f>IFERROR(VLOOKUP($B128, MARKAH_KRS_KAWAD!$B:$BD, 54, FALSE)/137,0)</f>
        <v>0</v>
      </c>
      <c r="H128" s="26">
        <f>IFERROR(VLOOKUP($B128, MARKAH_KRS_BANTU_MULA!$B:$L, 11, FALSE)/20, 0)
</f>
        <v>0</v>
      </c>
      <c r="I128" s="26">
        <f>IFERROR(VLOOKUP($B128, MARKAH_KRS_IKATAN!$B:$N, 12, FALSE)/25, 0)
</f>
        <v>0</v>
      </c>
      <c r="J128" s="26">
        <f t="shared" si="1"/>
        <v>0</v>
      </c>
      <c r="K128" s="27" t="str">
        <f t="shared" si="2"/>
        <v>GGG</v>
      </c>
    </row>
    <row r="129" ht="30.75" customHeight="1">
      <c r="A129" s="20">
        <v>127.0</v>
      </c>
      <c r="B129" s="20" t="s">
        <v>696</v>
      </c>
      <c r="C129" s="21" t="s">
        <v>697</v>
      </c>
      <c r="D129" s="20" t="s">
        <v>397</v>
      </c>
      <c r="E129" s="20" t="s">
        <v>18</v>
      </c>
      <c r="F129" s="20" t="s">
        <v>11</v>
      </c>
      <c r="G129" s="22">
        <f>IFERROR(VLOOKUP($B129, MARKAH_KRS_KAWAD!$B:$BD, 54, FALSE)/137,0)</f>
        <v>0</v>
      </c>
      <c r="H129" s="22">
        <f>IFERROR(VLOOKUP($B129, MARKAH_KRS_BANTU_MULA!$B:$L, 11, FALSE)/20, 0)
</f>
        <v>0</v>
      </c>
      <c r="I129" s="22">
        <f>IFERROR(VLOOKUP($B129, MARKAH_KRS_IKATAN!$B:$N, 12, FALSE)/25, 0)
</f>
        <v>0</v>
      </c>
      <c r="J129" s="22">
        <f t="shared" si="1"/>
        <v>0</v>
      </c>
      <c r="K129" s="23" t="str">
        <f t="shared" si="2"/>
        <v>GGG</v>
      </c>
    </row>
    <row r="130" ht="30.75" customHeight="1">
      <c r="A130" s="24">
        <v>128.0</v>
      </c>
      <c r="B130" s="24" t="s">
        <v>698</v>
      </c>
      <c r="C130" s="25" t="s">
        <v>699</v>
      </c>
      <c r="D130" s="24" t="s">
        <v>435</v>
      </c>
      <c r="E130" s="24" t="s">
        <v>18</v>
      </c>
      <c r="F130" s="24" t="s">
        <v>11</v>
      </c>
      <c r="G130" s="26">
        <f>IFERROR(VLOOKUP($B130, MARKAH_KRS_KAWAD!$B:$BD, 54, FALSE)/137,0)</f>
        <v>0</v>
      </c>
      <c r="H130" s="26">
        <f>IFERROR(VLOOKUP($B130, MARKAH_KRS_BANTU_MULA!$B:$L, 11, FALSE)/20, 0)
</f>
        <v>0</v>
      </c>
      <c r="I130" s="26">
        <f>IFERROR(VLOOKUP($B130, MARKAH_KRS_IKATAN!$B:$N, 12, FALSE)/25, 0)
</f>
        <v>0</v>
      </c>
      <c r="J130" s="26">
        <f t="shared" si="1"/>
        <v>0</v>
      </c>
      <c r="K130" s="27" t="str">
        <f t="shared" si="2"/>
        <v>GGG</v>
      </c>
    </row>
    <row r="131" ht="30.75" customHeight="1">
      <c r="A131" s="20">
        <v>129.0</v>
      </c>
      <c r="B131" s="20" t="s">
        <v>700</v>
      </c>
      <c r="C131" s="21" t="s">
        <v>655</v>
      </c>
      <c r="D131" s="20" t="s">
        <v>254</v>
      </c>
      <c r="E131" s="20" t="s">
        <v>18</v>
      </c>
      <c r="F131" s="20" t="s">
        <v>38</v>
      </c>
      <c r="G131" s="22">
        <f>IFERROR(VLOOKUP($B131, MARKAH_KRS_KAWAD!$B:$BD, 54, FALSE)/137,0)</f>
        <v>0</v>
      </c>
      <c r="H131" s="22">
        <f>IFERROR(VLOOKUP($B131, MARKAH_KRS_BANTU_MULA!$B:$L, 11, FALSE)/20, 0)
</f>
        <v>0</v>
      </c>
      <c r="I131" s="22">
        <f>IFERROR(VLOOKUP($B131, MARKAH_KRS_IKATAN!$B:$N, 12, FALSE)/25, 0)
</f>
        <v>0</v>
      </c>
      <c r="J131" s="22">
        <f t="shared" si="1"/>
        <v>0</v>
      </c>
      <c r="K131" s="23" t="str">
        <f t="shared" si="2"/>
        <v>GGG</v>
      </c>
    </row>
    <row r="132" ht="30.75" customHeight="1">
      <c r="A132" s="24">
        <v>130.0</v>
      </c>
      <c r="B132" s="24" t="s">
        <v>701</v>
      </c>
      <c r="C132" s="25" t="s">
        <v>702</v>
      </c>
      <c r="D132" s="24" t="s">
        <v>254</v>
      </c>
      <c r="E132" s="24" t="s">
        <v>18</v>
      </c>
      <c r="F132" s="24" t="s">
        <v>38</v>
      </c>
      <c r="G132" s="26">
        <f>IFERROR(VLOOKUP($B132, MARKAH_KRS_KAWAD!$B:$BD, 54, FALSE)/137,0)</f>
        <v>0</v>
      </c>
      <c r="H132" s="26">
        <f>IFERROR(VLOOKUP($B132, MARKAH_KRS_BANTU_MULA!$B:$L, 11, FALSE)/20, 0)
</f>
        <v>0</v>
      </c>
      <c r="I132" s="26">
        <f>IFERROR(VLOOKUP($B132, MARKAH_KRS_IKATAN!$B:$N, 12, FALSE)/25, 0)
</f>
        <v>0</v>
      </c>
      <c r="J132" s="26">
        <f t="shared" si="1"/>
        <v>0</v>
      </c>
      <c r="K132" s="27" t="str">
        <f t="shared" si="2"/>
        <v>GGG</v>
      </c>
    </row>
    <row r="133" ht="30.75" customHeight="1">
      <c r="A133" s="20">
        <v>131.0</v>
      </c>
      <c r="B133" s="20" t="s">
        <v>703</v>
      </c>
      <c r="C133" s="21" t="s">
        <v>704</v>
      </c>
      <c r="D133" s="20" t="s">
        <v>132</v>
      </c>
      <c r="E133" s="20" t="s">
        <v>18</v>
      </c>
      <c r="F133" s="20" t="s">
        <v>11</v>
      </c>
      <c r="G133" s="22">
        <f>IFERROR(VLOOKUP($B133, MARKAH_KRS_KAWAD!$B:$BD, 54, FALSE)/137,0)</f>
        <v>0</v>
      </c>
      <c r="H133" s="22">
        <f>IFERROR(VLOOKUP($B133, MARKAH_KRS_BANTU_MULA!$B:$L, 11, FALSE)/20, 0)
</f>
        <v>0</v>
      </c>
      <c r="I133" s="22">
        <f>IFERROR(VLOOKUP($B133, MARKAH_KRS_IKATAN!$B:$N, 12, FALSE)/25, 0)
</f>
        <v>0</v>
      </c>
      <c r="J133" s="22">
        <f t="shared" si="1"/>
        <v>0</v>
      </c>
      <c r="K133" s="23" t="str">
        <f t="shared" si="2"/>
        <v>GGG</v>
      </c>
    </row>
    <row r="134" ht="30.75" customHeight="1">
      <c r="A134" s="24">
        <v>132.0</v>
      </c>
      <c r="B134" s="24" t="s">
        <v>705</v>
      </c>
      <c r="C134" s="25" t="s">
        <v>706</v>
      </c>
      <c r="D134" s="24" t="s">
        <v>125</v>
      </c>
      <c r="E134" s="24" t="s">
        <v>18</v>
      </c>
      <c r="F134" s="24" t="s">
        <v>38</v>
      </c>
      <c r="G134" s="26">
        <f>IFERROR(VLOOKUP($B134, MARKAH_KRS_KAWAD!$B:$BD, 54, FALSE)/137,0)</f>
        <v>0</v>
      </c>
      <c r="H134" s="26">
        <f>IFERROR(VLOOKUP($B134, MARKAH_KRS_BANTU_MULA!$B:$L, 11, FALSE)/20, 0)
</f>
        <v>0</v>
      </c>
      <c r="I134" s="26">
        <f>IFERROR(VLOOKUP($B134, MARKAH_KRS_IKATAN!$B:$N, 12, FALSE)/25, 0)
</f>
        <v>0</v>
      </c>
      <c r="J134" s="26">
        <f t="shared" si="1"/>
        <v>0</v>
      </c>
      <c r="K134" s="27" t="str">
        <f t="shared" si="2"/>
        <v>GGG</v>
      </c>
    </row>
    <row r="135" ht="30.75" customHeight="1">
      <c r="A135" s="20">
        <v>133.0</v>
      </c>
      <c r="B135" s="20" t="s">
        <v>707</v>
      </c>
      <c r="C135" s="21" t="s">
        <v>708</v>
      </c>
      <c r="D135" s="20" t="s">
        <v>146</v>
      </c>
      <c r="E135" s="20" t="s">
        <v>18</v>
      </c>
      <c r="F135" s="20" t="s">
        <v>11</v>
      </c>
      <c r="G135" s="22">
        <f>IFERROR(VLOOKUP($B135, MARKAH_KRS_KAWAD!$B:$BD, 54, FALSE)/137,0)</f>
        <v>0</v>
      </c>
      <c r="H135" s="22">
        <f>IFERROR(VLOOKUP($B135, MARKAH_KRS_BANTU_MULA!$B:$L, 11, FALSE)/20, 0)
</f>
        <v>0</v>
      </c>
      <c r="I135" s="22">
        <f>IFERROR(VLOOKUP($B135, MARKAH_KRS_IKATAN!$B:$N, 12, FALSE)/25, 0)
</f>
        <v>0</v>
      </c>
      <c r="J135" s="22">
        <f t="shared" si="1"/>
        <v>0</v>
      </c>
      <c r="K135" s="23" t="str">
        <f t="shared" si="2"/>
        <v>GGG</v>
      </c>
    </row>
    <row r="136" ht="30.75" customHeight="1">
      <c r="A136" s="24">
        <v>134.0</v>
      </c>
      <c r="B136" s="24" t="s">
        <v>709</v>
      </c>
      <c r="C136" s="25" t="s">
        <v>710</v>
      </c>
      <c r="D136" s="24" t="s">
        <v>146</v>
      </c>
      <c r="E136" s="24" t="s">
        <v>18</v>
      </c>
      <c r="F136" s="24" t="s">
        <v>11</v>
      </c>
      <c r="G136" s="26">
        <f>IFERROR(VLOOKUP($B136, MARKAH_KRS_KAWAD!$B:$BD, 54, FALSE)/137,0)</f>
        <v>0</v>
      </c>
      <c r="H136" s="26">
        <f>IFERROR(VLOOKUP($B136, MARKAH_KRS_BANTU_MULA!$B:$L, 11, FALSE)/20, 0)
</f>
        <v>0</v>
      </c>
      <c r="I136" s="26">
        <f>IFERROR(VLOOKUP($B136, MARKAH_KRS_IKATAN!$B:$N, 12, FALSE)/25, 0)
</f>
        <v>0</v>
      </c>
      <c r="J136" s="26">
        <f t="shared" si="1"/>
        <v>0</v>
      </c>
      <c r="K136" s="27" t="str">
        <f t="shared" si="2"/>
        <v>GGG</v>
      </c>
    </row>
    <row r="137" ht="30.75" customHeight="1">
      <c r="A137" s="20">
        <v>135.0</v>
      </c>
      <c r="B137" s="20" t="s">
        <v>712</v>
      </c>
      <c r="C137" s="21" t="s">
        <v>714</v>
      </c>
      <c r="D137" s="20" t="s">
        <v>146</v>
      </c>
      <c r="E137" s="20" t="s">
        <v>18</v>
      </c>
      <c r="F137" s="20" t="s">
        <v>11</v>
      </c>
      <c r="G137" s="22">
        <f>IFERROR(VLOOKUP($B137, MARKAH_KRS_KAWAD!$B:$BD, 54, FALSE)/137,0)</f>
        <v>0</v>
      </c>
      <c r="H137" s="22">
        <f>IFERROR(VLOOKUP($B137, MARKAH_KRS_BANTU_MULA!$B:$L, 11, FALSE)/20, 0)
</f>
        <v>0</v>
      </c>
      <c r="I137" s="22">
        <f>IFERROR(VLOOKUP($B137, MARKAH_KRS_IKATAN!$B:$N, 12, FALSE)/25, 0)
</f>
        <v>0</v>
      </c>
      <c r="J137" s="22">
        <f t="shared" si="1"/>
        <v>0</v>
      </c>
      <c r="K137" s="23" t="str">
        <f t="shared" si="2"/>
        <v>GGG</v>
      </c>
    </row>
    <row r="138" ht="30.75" customHeight="1">
      <c r="A138" s="24">
        <v>136.0</v>
      </c>
      <c r="B138" s="24" t="s">
        <v>716</v>
      </c>
      <c r="C138" s="25" t="s">
        <v>717</v>
      </c>
      <c r="D138" s="24" t="s">
        <v>166</v>
      </c>
      <c r="E138" s="24" t="s">
        <v>18</v>
      </c>
      <c r="F138" s="24" t="s">
        <v>11</v>
      </c>
      <c r="G138" s="26">
        <f>IFERROR(VLOOKUP($B138, MARKAH_KRS_KAWAD!$B:$BD, 54, FALSE)/137,0)</f>
        <v>0</v>
      </c>
      <c r="H138" s="26">
        <f>IFERROR(VLOOKUP($B138, MARKAH_KRS_BANTU_MULA!$B:$L, 11, FALSE)/20, 0)
</f>
        <v>0</v>
      </c>
      <c r="I138" s="26">
        <f>IFERROR(VLOOKUP($B138, MARKAH_KRS_IKATAN!$B:$N, 12, FALSE)/25, 0)
</f>
        <v>0</v>
      </c>
      <c r="J138" s="26">
        <f t="shared" si="1"/>
        <v>0</v>
      </c>
      <c r="K138" s="27" t="str">
        <f t="shared" si="2"/>
        <v>GGG</v>
      </c>
    </row>
    <row r="139" ht="30.75" customHeight="1">
      <c r="A139" s="20">
        <v>137.0</v>
      </c>
      <c r="B139" s="20" t="s">
        <v>718</v>
      </c>
      <c r="C139" s="21" t="s">
        <v>719</v>
      </c>
      <c r="D139" s="20" t="s">
        <v>226</v>
      </c>
      <c r="E139" s="20" t="s">
        <v>18</v>
      </c>
      <c r="F139" s="20" t="s">
        <v>11</v>
      </c>
      <c r="G139" s="22">
        <f>IFERROR(VLOOKUP($B139, MARKAH_KRS_KAWAD!$B:$BD, 54, FALSE)/137,0)</f>
        <v>0</v>
      </c>
      <c r="H139" s="22">
        <f>IFERROR(VLOOKUP($B139, MARKAH_KRS_BANTU_MULA!$B:$L, 11, FALSE)/20, 0)
</f>
        <v>0</v>
      </c>
      <c r="I139" s="22">
        <f>IFERROR(VLOOKUP($B139, MARKAH_KRS_IKATAN!$B:$N, 12, FALSE)/25, 0)
</f>
        <v>0</v>
      </c>
      <c r="J139" s="22">
        <f t="shared" si="1"/>
        <v>0</v>
      </c>
      <c r="K139" s="23" t="str">
        <f t="shared" si="2"/>
        <v>GGG</v>
      </c>
    </row>
    <row r="140" ht="30.75" customHeight="1">
      <c r="A140" s="24">
        <v>138.0</v>
      </c>
      <c r="B140" s="24" t="s">
        <v>720</v>
      </c>
      <c r="C140" s="25" t="s">
        <v>721</v>
      </c>
      <c r="D140" s="24" t="s">
        <v>55</v>
      </c>
      <c r="E140" s="24" t="s">
        <v>18</v>
      </c>
      <c r="F140" s="24" t="s">
        <v>38</v>
      </c>
      <c r="G140" s="26">
        <f>IFERROR(VLOOKUP($B140, MARKAH_KRS_KAWAD!$B:$BD, 54, FALSE)/137,0)</f>
        <v>0</v>
      </c>
      <c r="H140" s="26">
        <f>IFERROR(VLOOKUP($B140, MARKAH_KRS_BANTU_MULA!$B:$L, 11, FALSE)/20, 0)
</f>
        <v>0</v>
      </c>
      <c r="I140" s="26">
        <f>IFERROR(VLOOKUP($B140, MARKAH_KRS_IKATAN!$B:$N, 12, FALSE)/25, 0)
</f>
        <v>0</v>
      </c>
      <c r="J140" s="26">
        <f t="shared" si="1"/>
        <v>0</v>
      </c>
      <c r="K140" s="27" t="str">
        <f t="shared" si="2"/>
        <v>GGG</v>
      </c>
    </row>
    <row r="141" ht="30.75" customHeight="1">
      <c r="A141" s="20">
        <v>139.0</v>
      </c>
      <c r="B141" s="20" t="s">
        <v>722</v>
      </c>
      <c r="C141" s="21" t="s">
        <v>723</v>
      </c>
      <c r="D141" s="20" t="s">
        <v>55</v>
      </c>
      <c r="E141" s="20" t="s">
        <v>18</v>
      </c>
      <c r="F141" s="20" t="s">
        <v>11</v>
      </c>
      <c r="G141" s="22">
        <f>IFERROR(VLOOKUP($B141, MARKAH_KRS_KAWAD!$B:$BD, 54, FALSE)/137,0)</f>
        <v>0</v>
      </c>
      <c r="H141" s="22">
        <f>IFERROR(VLOOKUP($B141, MARKAH_KRS_BANTU_MULA!$B:$L, 11, FALSE)/20, 0)
</f>
        <v>0</v>
      </c>
      <c r="I141" s="22">
        <f>IFERROR(VLOOKUP($B141, MARKAH_KRS_IKATAN!$B:$N, 12, FALSE)/25, 0)
</f>
        <v>0</v>
      </c>
      <c r="J141" s="22">
        <f t="shared" si="1"/>
        <v>0</v>
      </c>
      <c r="K141" s="23" t="str">
        <f t="shared" si="2"/>
        <v>GGG</v>
      </c>
    </row>
    <row r="142" ht="30.75" customHeight="1">
      <c r="A142" s="24">
        <v>140.0</v>
      </c>
      <c r="B142" s="24" t="s">
        <v>724</v>
      </c>
      <c r="C142" s="25" t="s">
        <v>725</v>
      </c>
      <c r="D142" s="24" t="s">
        <v>55</v>
      </c>
      <c r="E142" s="24" t="s">
        <v>18</v>
      </c>
      <c r="F142" s="24" t="s">
        <v>38</v>
      </c>
      <c r="G142" s="26">
        <f>IFERROR(VLOOKUP($B142, MARKAH_KRS_KAWAD!$B:$BD, 54, FALSE)/137,0)</f>
        <v>0</v>
      </c>
      <c r="H142" s="26">
        <f>IFERROR(VLOOKUP($B142, MARKAH_KRS_BANTU_MULA!$B:$L, 11, FALSE)/20, 0)
</f>
        <v>0</v>
      </c>
      <c r="I142" s="26">
        <f>IFERROR(VLOOKUP($B142, MARKAH_KRS_IKATAN!$B:$N, 12, FALSE)/25, 0)
</f>
        <v>0</v>
      </c>
      <c r="J142" s="26">
        <f t="shared" si="1"/>
        <v>0</v>
      </c>
      <c r="K142" s="27" t="str">
        <f t="shared" si="2"/>
        <v>GGG</v>
      </c>
    </row>
    <row r="143" ht="30.75" customHeight="1">
      <c r="A143" s="20">
        <v>141.0</v>
      </c>
      <c r="B143" s="20" t="s">
        <v>726</v>
      </c>
      <c r="C143" s="21" t="s">
        <v>727</v>
      </c>
      <c r="D143" s="20" t="s">
        <v>323</v>
      </c>
      <c r="E143" s="20" t="s">
        <v>18</v>
      </c>
      <c r="F143" s="20" t="s">
        <v>11</v>
      </c>
      <c r="G143" s="22">
        <f>IFERROR(VLOOKUP($B143, MARKAH_KRS_KAWAD!$B:$BD, 54, FALSE)/137,0)</f>
        <v>0</v>
      </c>
      <c r="H143" s="22">
        <f>IFERROR(VLOOKUP($B143, MARKAH_KRS_BANTU_MULA!$B:$L, 11, FALSE)/20, 0)
</f>
        <v>0</v>
      </c>
      <c r="I143" s="22">
        <f>IFERROR(VLOOKUP($B143, MARKAH_KRS_IKATAN!$B:$N, 12, FALSE)/25, 0)
</f>
        <v>0</v>
      </c>
      <c r="J143" s="22">
        <f t="shared" si="1"/>
        <v>0</v>
      </c>
      <c r="K143" s="23" t="str">
        <f t="shared" si="2"/>
        <v>GGG</v>
      </c>
    </row>
    <row r="144" ht="30.75" customHeight="1">
      <c r="A144" s="24">
        <v>142.0</v>
      </c>
      <c r="B144" s="24" t="s">
        <v>728</v>
      </c>
      <c r="C144" s="25" t="s">
        <v>729</v>
      </c>
      <c r="D144" s="24" t="s">
        <v>21</v>
      </c>
      <c r="E144" s="24" t="s">
        <v>18</v>
      </c>
      <c r="F144" s="24" t="s">
        <v>38</v>
      </c>
      <c r="G144" s="26">
        <f>IFERROR(VLOOKUP($B144, MARKAH_KRS_KAWAD!$B:$BD, 54, FALSE)/137,0)</f>
        <v>0</v>
      </c>
      <c r="H144" s="26">
        <f>IFERROR(VLOOKUP($B144, MARKAH_KRS_BANTU_MULA!$B:$L, 11, FALSE)/20, 0)
</f>
        <v>0</v>
      </c>
      <c r="I144" s="26">
        <f>IFERROR(VLOOKUP($B144, MARKAH_KRS_IKATAN!$B:$N, 12, FALSE)/25, 0)
</f>
        <v>0</v>
      </c>
      <c r="J144" s="26">
        <f t="shared" si="1"/>
        <v>0</v>
      </c>
      <c r="K144" s="27" t="str">
        <f t="shared" si="2"/>
        <v>GGG</v>
      </c>
    </row>
    <row r="145" ht="30.75" customHeight="1">
      <c r="A145" s="20">
        <v>143.0</v>
      </c>
      <c r="B145" s="20" t="s">
        <v>732</v>
      </c>
      <c r="C145" s="21" t="s">
        <v>734</v>
      </c>
      <c r="D145" s="20" t="s">
        <v>349</v>
      </c>
      <c r="E145" s="20" t="s">
        <v>18</v>
      </c>
      <c r="F145" s="20" t="s">
        <v>38</v>
      </c>
      <c r="G145" s="22">
        <f>IFERROR(VLOOKUP($B145, MARKAH_KRS_KAWAD!$B:$BD, 54, FALSE)/137,0)</f>
        <v>0</v>
      </c>
      <c r="H145" s="22">
        <f>IFERROR(VLOOKUP($B145, MARKAH_KRS_BANTU_MULA!$B:$L, 11, FALSE)/20, 0)
</f>
        <v>0</v>
      </c>
      <c r="I145" s="22">
        <f>IFERROR(VLOOKUP($B145, MARKAH_KRS_IKATAN!$B:$N, 12, FALSE)/25, 0)
</f>
        <v>0</v>
      </c>
      <c r="J145" s="22">
        <f t="shared" si="1"/>
        <v>0</v>
      </c>
      <c r="K145" s="23" t="str">
        <f t="shared" si="2"/>
        <v>GGG</v>
      </c>
    </row>
    <row r="146" ht="30.75" customHeight="1">
      <c r="A146" s="24">
        <v>144.0</v>
      </c>
      <c r="B146" s="24" t="s">
        <v>735</v>
      </c>
      <c r="C146" s="25" t="s">
        <v>736</v>
      </c>
      <c r="D146" s="24" t="s">
        <v>16</v>
      </c>
      <c r="E146" s="24" t="s">
        <v>18</v>
      </c>
      <c r="F146" s="24" t="s">
        <v>11</v>
      </c>
      <c r="G146" s="26">
        <f>IFERROR(VLOOKUP($B146, MARKAH_KRS_KAWAD!$B:$BD, 54, FALSE)/137,0)</f>
        <v>0</v>
      </c>
      <c r="H146" s="26">
        <f>IFERROR(VLOOKUP($B146, MARKAH_KRS_BANTU_MULA!$B:$L, 11, FALSE)/20, 0)
</f>
        <v>0</v>
      </c>
      <c r="I146" s="26">
        <f>IFERROR(VLOOKUP($B146, MARKAH_KRS_IKATAN!$B:$N, 12, FALSE)/25, 0)
</f>
        <v>0</v>
      </c>
      <c r="J146" s="26">
        <f t="shared" si="1"/>
        <v>0</v>
      </c>
      <c r="K146" s="27" t="str">
        <f t="shared" si="2"/>
        <v>GGG</v>
      </c>
    </row>
  </sheetData>
  <mergeCells count="9">
    <mergeCell ref="J1:J2"/>
    <mergeCell ref="K1:K2"/>
    <mergeCell ref="A1:A2"/>
    <mergeCell ref="B1:B2"/>
    <mergeCell ref="C1:C2"/>
    <mergeCell ref="D1:D2"/>
    <mergeCell ref="E1:E2"/>
    <mergeCell ref="F1:F2"/>
    <mergeCell ref="G1:I1"/>
  </mergeCells>
  <conditionalFormatting sqref="A1:K146">
    <cfRule type="cellIs" dxfId="1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25"/>
    <col customWidth="1" min="4" max="4" width="13.88"/>
    <col customWidth="1" min="5" max="5" width="8.88"/>
    <col customWidth="1" min="6" max="6" width="13.5"/>
    <col customWidth="1" min="7" max="7" width="8.13"/>
    <col customWidth="1" min="8" max="8" width="20.5"/>
    <col customWidth="1" min="9" max="9" width="21.5"/>
    <col customWidth="1" min="10" max="10" width="14.38"/>
    <col customWidth="1" min="11" max="11" width="15.5"/>
    <col customWidth="1" min="12" max="12" width="17.63"/>
    <col customWidth="1" min="13" max="13" width="18.75"/>
    <col customWidth="1" min="14" max="14" width="18.38"/>
    <col customWidth="1" min="15" max="15" width="19.38"/>
    <col customWidth="1" min="16" max="16" width="26.5"/>
    <col customWidth="1" min="17" max="17" width="27.63"/>
    <col customWidth="1" min="18" max="18" width="33.63"/>
    <col customWidth="1" min="19" max="19" width="34.75"/>
    <col customWidth="1" min="20" max="20" width="35.63"/>
    <col customWidth="1" min="21" max="21" width="36.75"/>
    <col customWidth="1" min="22" max="22" width="37.63"/>
    <col customWidth="1" min="23" max="23" width="38.75"/>
    <col customWidth="1" min="24" max="24" width="29.0"/>
    <col customWidth="1" min="25" max="25" width="30.13"/>
    <col customWidth="1" min="26" max="26" width="23.63"/>
    <col customWidth="1" min="27" max="27" width="24.75"/>
    <col customWidth="1" min="28" max="28" width="26.88"/>
    <col customWidth="1" min="29" max="29" width="28.0"/>
    <col customWidth="1" min="30" max="30" width="31.25"/>
    <col customWidth="1" min="31" max="31" width="32.25"/>
    <col customWidth="1" min="32" max="32" width="20.75"/>
    <col customWidth="1" min="33" max="33" width="21.88"/>
    <col customWidth="1" min="34" max="34" width="15.63"/>
    <col customWidth="1" min="35" max="35" width="16.75"/>
    <col customWidth="1" min="36" max="36" width="35.38"/>
    <col customWidth="1" min="37" max="37" width="36.5"/>
    <col customWidth="1" min="38" max="38" width="8.25"/>
    <col customWidth="1" min="39" max="39" width="21.88"/>
    <col customWidth="1" min="40" max="40" width="17.38"/>
    <col customWidth="1" min="41" max="41" width="14.63"/>
    <col customWidth="1" min="42" max="42" width="16.0"/>
    <col customWidth="1" min="43" max="47" width="8.25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34" t="s">
        <v>1050</v>
      </c>
      <c r="H1" s="34" t="s">
        <v>1051</v>
      </c>
      <c r="I1" s="34" t="s">
        <v>1052</v>
      </c>
      <c r="J1" s="34" t="s">
        <v>1053</v>
      </c>
      <c r="K1" s="34" t="s">
        <v>1054</v>
      </c>
      <c r="L1" s="34" t="s">
        <v>1055</v>
      </c>
      <c r="M1" s="34" t="s">
        <v>1056</v>
      </c>
      <c r="N1" s="34" t="s">
        <v>1057</v>
      </c>
      <c r="O1" s="34" t="s">
        <v>1058</v>
      </c>
      <c r="P1" s="34" t="s">
        <v>1059</v>
      </c>
      <c r="Q1" s="34" t="s">
        <v>1060</v>
      </c>
      <c r="R1" s="34" t="s">
        <v>1061</v>
      </c>
      <c r="S1" s="34" t="s">
        <v>1062</v>
      </c>
      <c r="T1" s="34" t="s">
        <v>1063</v>
      </c>
      <c r="U1" s="34" t="s">
        <v>1064</v>
      </c>
      <c r="V1" s="34" t="s">
        <v>1065</v>
      </c>
      <c r="W1" s="34" t="s">
        <v>1066</v>
      </c>
      <c r="X1" s="34" t="s">
        <v>1067</v>
      </c>
      <c r="Y1" s="34" t="s">
        <v>1068</v>
      </c>
      <c r="Z1" s="34" t="s">
        <v>1069</v>
      </c>
      <c r="AA1" s="34" t="s">
        <v>1070</v>
      </c>
      <c r="AB1" s="34" t="s">
        <v>1071</v>
      </c>
      <c r="AC1" s="34" t="s">
        <v>1072</v>
      </c>
      <c r="AD1" s="34" t="s">
        <v>1073</v>
      </c>
      <c r="AE1" s="34" t="s">
        <v>1074</v>
      </c>
      <c r="AF1" s="34" t="s">
        <v>1075</v>
      </c>
      <c r="AG1" s="34" t="s">
        <v>1076</v>
      </c>
      <c r="AH1" s="34" t="s">
        <v>1077</v>
      </c>
      <c r="AI1" s="34" t="s">
        <v>1078</v>
      </c>
      <c r="AJ1" s="34" t="s">
        <v>1079</v>
      </c>
      <c r="AK1" s="34" t="s">
        <v>1080</v>
      </c>
      <c r="AL1" s="34" t="s">
        <v>1081</v>
      </c>
      <c r="AM1" s="34" t="s">
        <v>1082</v>
      </c>
      <c r="AN1" s="34" t="s">
        <v>1083</v>
      </c>
      <c r="AO1" s="34" t="s">
        <v>1084</v>
      </c>
      <c r="AP1" s="34" t="s">
        <v>1085</v>
      </c>
      <c r="AQ1" s="34"/>
      <c r="AR1" s="34"/>
      <c r="AS1" s="34"/>
      <c r="AT1" s="34"/>
      <c r="AU1" s="34"/>
    </row>
    <row r="2">
      <c r="A2" s="35" t="s">
        <v>1088</v>
      </c>
      <c r="B2" s="35" t="s">
        <v>663</v>
      </c>
      <c r="C2" s="36">
        <v>46254.84563657407</v>
      </c>
      <c r="D2" s="34" t="s">
        <v>666</v>
      </c>
      <c r="E2" s="34" t="s">
        <v>667</v>
      </c>
      <c r="F2" s="34" t="s">
        <v>1092</v>
      </c>
      <c r="G2" s="34">
        <v>4.0</v>
      </c>
      <c r="H2" s="34">
        <v>2.0</v>
      </c>
      <c r="I2" s="34">
        <v>2.0</v>
      </c>
      <c r="J2" s="34">
        <v>2.0</v>
      </c>
      <c r="K2" s="34">
        <v>2.0</v>
      </c>
      <c r="L2" s="34">
        <v>2.0</v>
      </c>
      <c r="M2" s="34">
        <v>2.0</v>
      </c>
      <c r="N2" s="34">
        <v>2.0</v>
      </c>
      <c r="O2" s="34">
        <v>2.0</v>
      </c>
      <c r="P2" s="34">
        <v>2.0</v>
      </c>
      <c r="Q2" s="34">
        <v>2.0</v>
      </c>
      <c r="R2" s="34">
        <v>2.0</v>
      </c>
      <c r="S2" s="1">
        <v>2.0</v>
      </c>
      <c r="T2" s="1">
        <v>2.0</v>
      </c>
      <c r="U2" s="1">
        <v>2.0</v>
      </c>
      <c r="V2" s="1">
        <v>2.0</v>
      </c>
      <c r="W2" s="1">
        <v>2.0</v>
      </c>
      <c r="X2" s="1">
        <v>2.0</v>
      </c>
      <c r="Y2" s="1">
        <v>3.0</v>
      </c>
      <c r="Z2" s="1">
        <v>3.0</v>
      </c>
      <c r="AA2" s="1">
        <v>3.0</v>
      </c>
      <c r="AB2" s="1">
        <v>3.0</v>
      </c>
      <c r="AC2" s="1">
        <v>3.0</v>
      </c>
      <c r="AD2" s="1">
        <v>3.0</v>
      </c>
      <c r="AE2" s="1">
        <v>3.0</v>
      </c>
      <c r="AF2" s="1">
        <v>3.0</v>
      </c>
      <c r="AG2" s="1">
        <v>3.0</v>
      </c>
      <c r="AH2" s="1">
        <v>3.0</v>
      </c>
      <c r="AI2" s="1">
        <v>3.0</v>
      </c>
      <c r="AJ2" s="1">
        <v>3.0</v>
      </c>
      <c r="AK2" s="1">
        <v>3.0</v>
      </c>
      <c r="AL2" s="1" t="s">
        <v>1094</v>
      </c>
      <c r="AM2" s="1">
        <v>36.0</v>
      </c>
      <c r="AN2" s="1">
        <v>37.0</v>
      </c>
      <c r="AO2" s="1">
        <v>77.0</v>
      </c>
      <c r="AP2" s="38" t="s">
        <v>1095</v>
      </c>
    </row>
    <row r="3"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AE3" s="34"/>
    </row>
    <row r="4"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AD4" s="34"/>
      <c r="AE4" s="34"/>
    </row>
    <row r="5">
      <c r="A5" s="35"/>
      <c r="B5" s="35"/>
      <c r="C5" s="36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AC5" s="34"/>
      <c r="AD5" s="34"/>
      <c r="AE5" s="34"/>
      <c r="AF5" s="34"/>
      <c r="AG5" s="34"/>
      <c r="AH5" s="34"/>
      <c r="AI5" s="34"/>
      <c r="AJ5" s="34"/>
      <c r="AK5" s="34"/>
      <c r="AL5" s="39"/>
      <c r="AM5" s="34"/>
      <c r="AN5" s="34"/>
      <c r="AO5" s="34"/>
      <c r="AP5" s="34"/>
      <c r="AQ5" s="39"/>
      <c r="AR5" s="39"/>
      <c r="AS5" s="39"/>
      <c r="AT5" s="39"/>
      <c r="AU5" s="39"/>
    </row>
    <row r="6">
      <c r="C6" s="36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9"/>
      <c r="AM6" s="34"/>
      <c r="AN6" s="34"/>
      <c r="AO6" s="34"/>
      <c r="AP6" s="34"/>
      <c r="AQ6" s="39"/>
      <c r="AR6" s="39"/>
      <c r="AS6" s="39"/>
      <c r="AT6" s="39"/>
      <c r="AU6" s="39"/>
    </row>
    <row r="7"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9"/>
      <c r="AM7" s="34"/>
      <c r="AN7" s="34"/>
      <c r="AO7" s="34"/>
      <c r="AP7" s="34"/>
      <c r="AQ7" s="39"/>
      <c r="AR7" s="39"/>
      <c r="AS7" s="39"/>
      <c r="AT7" s="39"/>
      <c r="AU7" s="39"/>
    </row>
    <row r="8">
      <c r="C8" s="3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9"/>
      <c r="AM8" s="34"/>
      <c r="AN8" s="34"/>
      <c r="AO8" s="34"/>
      <c r="AP8" s="34"/>
      <c r="AQ8" s="39"/>
      <c r="AR8" s="39"/>
      <c r="AS8" s="39"/>
      <c r="AT8" s="39"/>
      <c r="AU8" s="39"/>
    </row>
    <row r="9">
      <c r="C9" s="36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9"/>
      <c r="AM9" s="34"/>
      <c r="AN9" s="34"/>
      <c r="AO9" s="34"/>
      <c r="AP9" s="34"/>
      <c r="AQ9" s="39"/>
      <c r="AR9" s="39"/>
      <c r="AS9" s="39"/>
      <c r="AT9" s="39"/>
      <c r="AU9" s="39"/>
    </row>
    <row r="10"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9"/>
      <c r="AM10" s="34"/>
      <c r="AN10" s="34"/>
      <c r="AO10" s="34"/>
      <c r="AP10" s="34"/>
      <c r="AQ10" s="39"/>
      <c r="AR10" s="39"/>
      <c r="AS10" s="39"/>
      <c r="AT10" s="39"/>
      <c r="AU10" s="39"/>
    </row>
    <row r="11"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9"/>
      <c r="AM11" s="34"/>
      <c r="AN11" s="34"/>
      <c r="AO11" s="34"/>
      <c r="AP11" s="34"/>
      <c r="AQ11" s="39"/>
      <c r="AR11" s="39"/>
      <c r="AS11" s="39"/>
      <c r="AT11" s="39"/>
      <c r="AU11" s="39"/>
    </row>
    <row r="12">
      <c r="C12" s="3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9"/>
      <c r="AM12" s="34"/>
      <c r="AN12" s="34"/>
      <c r="AO12" s="34"/>
      <c r="AP12" s="34"/>
      <c r="AQ12" s="39"/>
      <c r="AR12" s="39"/>
      <c r="AS12" s="39"/>
      <c r="AT12" s="39"/>
      <c r="AU12" s="39"/>
    </row>
    <row r="13">
      <c r="C13" s="3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9"/>
      <c r="AM13" s="34"/>
      <c r="AN13" s="34"/>
      <c r="AO13" s="34"/>
      <c r="AP13" s="34"/>
      <c r="AQ13" s="39"/>
      <c r="AR13" s="39"/>
      <c r="AS13" s="39"/>
      <c r="AT13" s="39"/>
      <c r="AU13" s="39"/>
    </row>
    <row r="14"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9"/>
      <c r="AM14" s="34"/>
      <c r="AN14" s="34"/>
      <c r="AO14" s="34"/>
      <c r="AP14" s="34"/>
      <c r="AQ14" s="39"/>
      <c r="AR14" s="39"/>
      <c r="AS14" s="39"/>
      <c r="AT14" s="39"/>
      <c r="AU14" s="39"/>
    </row>
    <row r="15">
      <c r="C15" s="3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9"/>
      <c r="AM15" s="34"/>
      <c r="AN15" s="34"/>
      <c r="AO15" s="34"/>
      <c r="AP15" s="34"/>
      <c r="AQ15" s="39"/>
      <c r="AR15" s="39"/>
      <c r="AS15" s="39"/>
      <c r="AT15" s="39"/>
      <c r="AU15" s="39"/>
    </row>
    <row r="16"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9"/>
      <c r="AM16" s="34"/>
      <c r="AN16" s="34"/>
      <c r="AO16" s="34"/>
      <c r="AP16" s="34"/>
      <c r="AQ16" s="39"/>
      <c r="AR16" s="39"/>
      <c r="AS16" s="39"/>
      <c r="AT16" s="39"/>
      <c r="AU16" s="39"/>
    </row>
    <row r="17"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9"/>
      <c r="AM17" s="34"/>
      <c r="AN17" s="34"/>
      <c r="AO17" s="34"/>
      <c r="AP17" s="34"/>
      <c r="AQ17" s="39"/>
      <c r="AR17" s="39"/>
      <c r="AS17" s="39"/>
      <c r="AT17" s="39"/>
      <c r="AU17" s="39"/>
    </row>
    <row r="18"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9"/>
      <c r="AM18" s="34"/>
      <c r="AN18" s="34"/>
      <c r="AO18" s="34"/>
      <c r="AP18" s="34"/>
      <c r="AQ18" s="39"/>
      <c r="AR18" s="39"/>
      <c r="AS18" s="39"/>
      <c r="AT18" s="39"/>
      <c r="AU18" s="39"/>
    </row>
    <row r="19"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9"/>
      <c r="AM19" s="34"/>
      <c r="AN19" s="34"/>
      <c r="AO19" s="34"/>
      <c r="AP19" s="34"/>
      <c r="AQ19" s="39"/>
      <c r="AR19" s="39"/>
      <c r="AS19" s="39"/>
      <c r="AT19" s="39"/>
      <c r="AU19" s="39"/>
    </row>
    <row r="20"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9"/>
      <c r="AM20" s="34"/>
      <c r="AN20" s="34"/>
      <c r="AO20" s="34"/>
      <c r="AP20" s="34"/>
      <c r="AQ20" s="39"/>
      <c r="AR20" s="39"/>
      <c r="AS20" s="39"/>
      <c r="AT20" s="39"/>
      <c r="AU20" s="39"/>
    </row>
    <row r="21"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9"/>
      <c r="AM21" s="34"/>
      <c r="AN21" s="34"/>
      <c r="AO21" s="34"/>
      <c r="AP21" s="34"/>
      <c r="AQ21" s="39"/>
      <c r="AR21" s="39"/>
      <c r="AS21" s="39"/>
      <c r="AT21" s="39"/>
      <c r="AU21" s="39"/>
    </row>
    <row r="22"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9"/>
      <c r="AR22" s="39"/>
      <c r="AS22" s="39"/>
      <c r="AT22" s="39"/>
      <c r="AU22" s="39"/>
    </row>
    <row r="23"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9"/>
      <c r="AM23" s="34"/>
      <c r="AN23" s="34"/>
      <c r="AO23" s="34"/>
      <c r="AP23" s="34"/>
      <c r="AQ23" s="39"/>
      <c r="AR23" s="39"/>
      <c r="AS23" s="39"/>
      <c r="AT23" s="39"/>
      <c r="AU23" s="39"/>
    </row>
    <row r="24"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9"/>
      <c r="AM24" s="34"/>
      <c r="AN24" s="34"/>
      <c r="AO24" s="34"/>
      <c r="AP24" s="34"/>
      <c r="AQ24" s="39"/>
      <c r="AR24" s="39"/>
      <c r="AS24" s="39"/>
      <c r="AT24" s="39"/>
      <c r="AU24" s="39"/>
    </row>
    <row r="25"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9"/>
      <c r="AM25" s="34"/>
      <c r="AN25" s="34"/>
      <c r="AO25" s="34"/>
      <c r="AP25" s="34"/>
      <c r="AQ25" s="39"/>
      <c r="AR25" s="39"/>
      <c r="AS25" s="39"/>
      <c r="AT25" s="39"/>
      <c r="AU25" s="39"/>
    </row>
    <row r="26"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9"/>
      <c r="AM26" s="34"/>
      <c r="AN26" s="34"/>
      <c r="AO26" s="34"/>
      <c r="AP26" s="34"/>
      <c r="AQ26" s="39"/>
      <c r="AR26" s="39"/>
      <c r="AS26" s="39"/>
      <c r="AT26" s="39"/>
      <c r="AU26" s="39"/>
    </row>
    <row r="27"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9"/>
      <c r="AM27" s="34"/>
      <c r="AN27" s="34"/>
      <c r="AO27" s="34"/>
      <c r="AP27" s="34"/>
      <c r="AQ27" s="39"/>
      <c r="AR27" s="39"/>
      <c r="AS27" s="39"/>
      <c r="AT27" s="39"/>
      <c r="AU27" s="39"/>
    </row>
    <row r="28"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9"/>
      <c r="AM28" s="34"/>
      <c r="AN28" s="34"/>
      <c r="AO28" s="34"/>
      <c r="AP28" s="34"/>
      <c r="AQ28" s="39"/>
      <c r="AR28" s="39"/>
      <c r="AS28" s="39"/>
      <c r="AT28" s="39"/>
      <c r="AU28" s="39"/>
    </row>
    <row r="29"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9"/>
      <c r="AM29" s="34"/>
      <c r="AN29" s="34"/>
      <c r="AO29" s="34"/>
      <c r="AP29" s="34"/>
      <c r="AQ29" s="39"/>
      <c r="AR29" s="39"/>
      <c r="AS29" s="39"/>
      <c r="AT29" s="39"/>
      <c r="AU29" s="39"/>
    </row>
    <row r="30"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9"/>
      <c r="AR30" s="39"/>
      <c r="AS30" s="39"/>
      <c r="AT30" s="39"/>
      <c r="AU30" s="39"/>
    </row>
    <row r="31"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9"/>
      <c r="AM31" s="34"/>
      <c r="AN31" s="34"/>
      <c r="AO31" s="34"/>
      <c r="AP31" s="34"/>
      <c r="AQ31" s="39"/>
      <c r="AR31" s="39"/>
      <c r="AS31" s="39"/>
      <c r="AT31" s="39"/>
      <c r="AU31" s="39"/>
    </row>
    <row r="32"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9"/>
      <c r="AM32" s="34"/>
      <c r="AN32" s="34"/>
      <c r="AO32" s="34"/>
      <c r="AP32" s="34"/>
      <c r="AQ32" s="39"/>
      <c r="AR32" s="39"/>
      <c r="AS32" s="39"/>
      <c r="AT32" s="39"/>
      <c r="AU32" s="39"/>
    </row>
    <row r="33"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9"/>
      <c r="AR33" s="39"/>
      <c r="AS33" s="39"/>
      <c r="AT33" s="39"/>
      <c r="AU33" s="39"/>
    </row>
    <row r="34"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9"/>
      <c r="AM34" s="34"/>
      <c r="AN34" s="34"/>
      <c r="AO34" s="34"/>
      <c r="AP34" s="34"/>
      <c r="AQ34" s="39"/>
      <c r="AR34" s="39"/>
      <c r="AS34" s="39"/>
      <c r="AT34" s="39"/>
      <c r="AU34" s="39"/>
    </row>
    <row r="35"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9"/>
      <c r="AM35" s="34"/>
      <c r="AN35" s="34"/>
      <c r="AO35" s="34"/>
      <c r="AP35" s="34"/>
      <c r="AQ35" s="39"/>
      <c r="AR35" s="39"/>
      <c r="AS35" s="39"/>
      <c r="AT35" s="39"/>
      <c r="AU35" s="39"/>
    </row>
    <row r="36"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9"/>
      <c r="AM36" s="34"/>
      <c r="AN36" s="34"/>
      <c r="AO36" s="34"/>
      <c r="AP36" s="34"/>
      <c r="AQ36" s="39"/>
      <c r="AR36" s="39"/>
      <c r="AS36" s="39"/>
      <c r="AT36" s="39"/>
      <c r="AU36" s="39"/>
    </row>
    <row r="37"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9"/>
      <c r="AM37" s="34"/>
      <c r="AN37" s="34"/>
      <c r="AO37" s="34"/>
      <c r="AP37" s="34"/>
      <c r="AQ37" s="39"/>
      <c r="AR37" s="39"/>
      <c r="AS37" s="39"/>
      <c r="AT37" s="39"/>
      <c r="AU37" s="39"/>
    </row>
    <row r="38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9"/>
      <c r="AM38" s="34"/>
      <c r="AN38" s="34"/>
      <c r="AO38" s="34"/>
      <c r="AP38" s="34"/>
      <c r="AQ38" s="39"/>
      <c r="AR38" s="39"/>
      <c r="AS38" s="39"/>
      <c r="AT38" s="39"/>
      <c r="AU38" s="39"/>
    </row>
    <row r="39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9"/>
      <c r="AM39" s="34"/>
      <c r="AN39" s="34"/>
      <c r="AO39" s="34"/>
      <c r="AP39" s="34"/>
      <c r="AQ39" s="39"/>
      <c r="AR39" s="39"/>
      <c r="AS39" s="39"/>
      <c r="AT39" s="39"/>
      <c r="AU39" s="39"/>
    </row>
    <row r="40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9"/>
      <c r="AR40" s="39"/>
      <c r="AS40" s="39"/>
      <c r="AT40" s="39"/>
      <c r="AU40" s="39"/>
    </row>
    <row r="41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9"/>
      <c r="AM41" s="34"/>
      <c r="AN41" s="34"/>
      <c r="AO41" s="34"/>
      <c r="AP41" s="34"/>
      <c r="AQ41" s="39"/>
      <c r="AR41" s="39"/>
      <c r="AS41" s="39"/>
      <c r="AT41" s="39"/>
      <c r="AU41" s="39"/>
    </row>
    <row r="42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9"/>
      <c r="AR42" s="39"/>
      <c r="AS42" s="39"/>
      <c r="AT42" s="39"/>
      <c r="AU42" s="39"/>
    </row>
    <row r="43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9"/>
      <c r="AM43" s="34"/>
      <c r="AN43" s="34"/>
      <c r="AO43" s="34"/>
      <c r="AP43" s="34"/>
      <c r="AQ43" s="39"/>
      <c r="AR43" s="39"/>
      <c r="AS43" s="39"/>
      <c r="AT43" s="39"/>
      <c r="AU43" s="39"/>
    </row>
    <row r="44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9"/>
      <c r="AM44" s="34"/>
      <c r="AN44" s="34"/>
      <c r="AO44" s="34"/>
      <c r="AP44" s="34"/>
      <c r="AQ44" s="39"/>
      <c r="AR44" s="39"/>
      <c r="AS44" s="39"/>
      <c r="AT44" s="39"/>
      <c r="AU44" s="39"/>
    </row>
    <row r="4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9"/>
      <c r="AM45" s="34"/>
      <c r="AN45" s="34"/>
      <c r="AO45" s="34"/>
      <c r="AP45" s="34"/>
      <c r="AQ45" s="39"/>
      <c r="AR45" s="39"/>
      <c r="AS45" s="39"/>
      <c r="AT45" s="39"/>
      <c r="AU45" s="39"/>
    </row>
    <row r="46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9"/>
      <c r="AM46" s="34"/>
      <c r="AN46" s="34"/>
      <c r="AO46" s="34"/>
      <c r="AP46" s="34"/>
      <c r="AQ46" s="39"/>
      <c r="AR46" s="39"/>
      <c r="AS46" s="39"/>
      <c r="AT46" s="39"/>
      <c r="AU46" s="39"/>
    </row>
    <row r="47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9"/>
      <c r="AM47" s="34"/>
      <c r="AN47" s="34"/>
      <c r="AO47" s="34"/>
      <c r="AP47" s="34"/>
      <c r="AQ47" s="39"/>
      <c r="AR47" s="39"/>
      <c r="AS47" s="39"/>
      <c r="AT47" s="39"/>
      <c r="AU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6.13"/>
    <col customWidth="1" min="4" max="4" width="53.13"/>
    <col customWidth="1" min="5" max="5" width="22.25"/>
    <col customWidth="1" min="6" max="6" width="25.13"/>
    <col customWidth="1" min="7" max="7" width="11.38"/>
    <col customWidth="1" min="8" max="8" width="12.63"/>
    <col customWidth="1" min="9" max="9" width="28.25"/>
    <col customWidth="1" min="10" max="10" width="19.38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8" t="s">
        <v>1086</v>
      </c>
      <c r="H1" s="3" t="s">
        <v>1087</v>
      </c>
      <c r="I1" s="3" t="s">
        <v>1081</v>
      </c>
      <c r="J1" s="3" t="s">
        <v>1089</v>
      </c>
      <c r="K1" s="1" t="s">
        <v>1090</v>
      </c>
    </row>
    <row r="2">
      <c r="A2" s="1" t="s">
        <v>1091</v>
      </c>
      <c r="B2" s="1" t="s">
        <v>663</v>
      </c>
      <c r="C2" s="37">
        <v>46254.84517361111</v>
      </c>
      <c r="D2" s="1" t="s">
        <v>666</v>
      </c>
      <c r="E2" s="1" t="s">
        <v>667</v>
      </c>
      <c r="F2" s="1" t="s">
        <v>1093</v>
      </c>
      <c r="G2" s="3">
        <v>3.0</v>
      </c>
      <c r="H2" s="3">
        <v>3.0</v>
      </c>
      <c r="I2" s="8"/>
      <c r="J2" s="3">
        <v>6.0</v>
      </c>
      <c r="K2" s="1">
        <v>6.0</v>
      </c>
    </row>
    <row r="3">
      <c r="C3" s="37"/>
      <c r="G3" s="3"/>
      <c r="H3" s="3"/>
      <c r="I3" s="8"/>
      <c r="J3" s="3"/>
    </row>
    <row r="4">
      <c r="C4" s="37"/>
      <c r="G4" s="3"/>
      <c r="H4" s="3"/>
      <c r="I4" s="8"/>
      <c r="J4" s="3"/>
    </row>
    <row r="5">
      <c r="C5" s="37"/>
      <c r="G5" s="3"/>
      <c r="H5" s="3"/>
      <c r="I5" s="8"/>
      <c r="J5" s="3"/>
    </row>
    <row r="6">
      <c r="C6" s="37"/>
      <c r="G6" s="3"/>
      <c r="H6" s="3"/>
      <c r="I6" s="8"/>
      <c r="J6" s="3"/>
    </row>
    <row r="7">
      <c r="C7" s="37"/>
      <c r="G7" s="3"/>
      <c r="H7" s="3"/>
      <c r="I7" s="8"/>
      <c r="J7" s="3"/>
    </row>
    <row r="8">
      <c r="C8" s="37"/>
      <c r="G8" s="3"/>
      <c r="H8" s="3"/>
      <c r="I8" s="8"/>
      <c r="J8" s="3"/>
    </row>
    <row r="9">
      <c r="C9" s="37"/>
      <c r="G9" s="3"/>
      <c r="H9" s="3"/>
      <c r="I9" s="8"/>
      <c r="J9" s="3"/>
    </row>
    <row r="10">
      <c r="C10" s="37"/>
      <c r="G10" s="3"/>
      <c r="H10" s="3"/>
      <c r="I10" s="8"/>
      <c r="J10" s="3"/>
    </row>
    <row r="11">
      <c r="C11" s="37"/>
      <c r="G11" s="3"/>
      <c r="H11" s="3"/>
      <c r="I11" s="8"/>
      <c r="J11" s="3"/>
    </row>
    <row r="12">
      <c r="C12" s="37"/>
      <c r="G12" s="3"/>
      <c r="H12" s="3"/>
      <c r="I12" s="8"/>
      <c r="J12" s="3"/>
    </row>
    <row r="13">
      <c r="C13" s="37"/>
      <c r="G13" s="3"/>
      <c r="H13" s="3"/>
      <c r="I13" s="8"/>
      <c r="J13" s="3"/>
    </row>
    <row r="14">
      <c r="C14" s="37"/>
      <c r="G14" s="3"/>
      <c r="H14" s="3"/>
      <c r="I14" s="8"/>
      <c r="J14" s="3"/>
    </row>
    <row r="15">
      <c r="C15" s="37"/>
      <c r="G15" s="3"/>
      <c r="H15" s="3"/>
      <c r="I15" s="8"/>
      <c r="J15" s="3"/>
    </row>
    <row r="16">
      <c r="C16" s="37"/>
      <c r="G16" s="3"/>
      <c r="H16" s="3"/>
      <c r="I16" s="8"/>
      <c r="J16" s="3"/>
    </row>
    <row r="17">
      <c r="C17" s="37"/>
      <c r="G17" s="3"/>
      <c r="H17" s="3"/>
      <c r="I17" s="8"/>
      <c r="J17" s="3"/>
    </row>
    <row r="18">
      <c r="C18" s="37"/>
      <c r="G18" s="3"/>
      <c r="H18" s="3"/>
      <c r="I18" s="8"/>
      <c r="J18" s="3"/>
    </row>
    <row r="19">
      <c r="C19" s="37"/>
      <c r="G19" s="3"/>
      <c r="H19" s="3"/>
      <c r="I19" s="3"/>
      <c r="J19" s="3"/>
    </row>
    <row r="20">
      <c r="C20" s="37"/>
      <c r="G20" s="3"/>
      <c r="H20" s="3"/>
      <c r="I20" s="8"/>
      <c r="J20" s="3"/>
    </row>
    <row r="21">
      <c r="C21" s="37"/>
      <c r="G21" s="3"/>
      <c r="H21" s="3"/>
      <c r="I21" s="8"/>
      <c r="J21" s="3"/>
    </row>
    <row r="22">
      <c r="C22" s="37"/>
      <c r="G22" s="3"/>
      <c r="H22" s="3"/>
      <c r="I22" s="8"/>
      <c r="J22" s="3"/>
    </row>
    <row r="23">
      <c r="C23" s="37"/>
      <c r="G23" s="3"/>
      <c r="H23" s="3"/>
      <c r="I23" s="8"/>
      <c r="J23" s="3"/>
    </row>
    <row r="24">
      <c r="C24" s="37"/>
      <c r="G24" s="3"/>
      <c r="H24" s="3"/>
      <c r="I24" s="8"/>
      <c r="J24" s="3"/>
    </row>
    <row r="25">
      <c r="C25" s="37"/>
      <c r="G25" s="3"/>
      <c r="H25" s="3"/>
      <c r="I25" s="8"/>
      <c r="J25" s="3"/>
    </row>
    <row r="26">
      <c r="C26" s="37"/>
      <c r="G26" s="3"/>
      <c r="H26" s="3"/>
      <c r="I26" s="8"/>
      <c r="J26" s="3"/>
    </row>
    <row r="27">
      <c r="C27" s="37"/>
      <c r="G27" s="3"/>
      <c r="H27" s="3"/>
      <c r="I27" s="8"/>
      <c r="J27" s="3"/>
    </row>
    <row r="28">
      <c r="C28" s="37"/>
      <c r="G28" s="3"/>
      <c r="H28" s="3"/>
      <c r="I28" s="8"/>
      <c r="J28" s="3"/>
    </row>
    <row r="29">
      <c r="C29" s="37"/>
      <c r="G29" s="3"/>
      <c r="H29" s="3"/>
      <c r="I29" s="8"/>
      <c r="J29" s="3"/>
    </row>
    <row r="30">
      <c r="C30" s="37"/>
      <c r="G30" s="3"/>
      <c r="H30" s="3"/>
      <c r="I30" s="8"/>
      <c r="J30" s="3"/>
    </row>
    <row r="31">
      <c r="C31" s="37"/>
      <c r="G31" s="3"/>
      <c r="H31" s="3"/>
      <c r="I31" s="8"/>
      <c r="J31" s="3"/>
    </row>
    <row r="32">
      <c r="C32" s="37"/>
      <c r="G32" s="3"/>
      <c r="H32" s="3"/>
      <c r="I32" s="8"/>
      <c r="J32" s="3"/>
    </row>
    <row r="33">
      <c r="C33" s="37"/>
      <c r="G33" s="3"/>
      <c r="H33" s="3"/>
      <c r="I33" s="8"/>
      <c r="J33" s="3"/>
    </row>
    <row r="34">
      <c r="C34" s="37"/>
      <c r="G34" s="3"/>
      <c r="H34" s="3"/>
      <c r="I34" s="8"/>
      <c r="J34" s="3"/>
    </row>
    <row r="35">
      <c r="C35" s="37"/>
      <c r="G35" s="3"/>
      <c r="H35" s="3"/>
      <c r="I35" s="8"/>
      <c r="J35" s="3"/>
    </row>
    <row r="36">
      <c r="C36" s="37"/>
      <c r="G36" s="3"/>
      <c r="H36" s="3"/>
      <c r="I36" s="8"/>
      <c r="J36" s="3"/>
    </row>
    <row r="37">
      <c r="C37" s="37"/>
      <c r="G37" s="3"/>
      <c r="H37" s="3"/>
      <c r="I37" s="8"/>
      <c r="J37" s="3"/>
    </row>
    <row r="38">
      <c r="C38" s="37"/>
      <c r="G38" s="3"/>
      <c r="H38" s="3"/>
      <c r="I38" s="8"/>
      <c r="J38" s="3"/>
    </row>
    <row r="39">
      <c r="C39" s="37"/>
      <c r="G39" s="3"/>
      <c r="H39" s="3"/>
      <c r="I39" s="8"/>
      <c r="J39" s="3"/>
    </row>
    <row r="40">
      <c r="C40" s="37"/>
      <c r="G40" s="3"/>
      <c r="H40" s="3"/>
      <c r="I40" s="8"/>
      <c r="J40" s="3"/>
    </row>
    <row r="41">
      <c r="C41" s="37"/>
      <c r="G41" s="3"/>
      <c r="H41" s="3"/>
      <c r="I41" s="8"/>
      <c r="J41" s="3"/>
    </row>
    <row r="42">
      <c r="C42" s="37"/>
      <c r="G42" s="3"/>
      <c r="H42" s="3"/>
      <c r="I42" s="8"/>
      <c r="J42" s="3"/>
    </row>
    <row r="43">
      <c r="C43" s="37"/>
      <c r="G43" s="3"/>
      <c r="H43" s="3"/>
      <c r="I43" s="8"/>
      <c r="J43" s="3"/>
    </row>
    <row r="44">
      <c r="C44" s="37"/>
      <c r="G44" s="3"/>
      <c r="H44" s="3"/>
      <c r="I44" s="8"/>
      <c r="J44" s="3"/>
    </row>
    <row r="45">
      <c r="C45" s="37"/>
      <c r="G45" s="3"/>
      <c r="H45" s="3"/>
      <c r="I45" s="8"/>
      <c r="J45" s="3"/>
    </row>
    <row r="46">
      <c r="C46" s="37"/>
      <c r="G46" s="3"/>
      <c r="H46" s="3"/>
      <c r="I46" s="8"/>
      <c r="J46" s="3"/>
    </row>
    <row r="47">
      <c r="C47" s="37"/>
      <c r="G47" s="3"/>
      <c r="H47" s="3"/>
      <c r="I47" s="8"/>
      <c r="J47" s="3"/>
    </row>
    <row r="48">
      <c r="C48" s="37"/>
      <c r="G48" s="3"/>
      <c r="H48" s="3"/>
      <c r="I48" s="8"/>
      <c r="J48" s="3"/>
    </row>
    <row r="49">
      <c r="C49" s="37"/>
      <c r="G49" s="3"/>
      <c r="H49" s="3"/>
      <c r="I49" s="8"/>
      <c r="J49" s="3"/>
    </row>
    <row r="50">
      <c r="G50" s="8"/>
      <c r="H50" s="8"/>
      <c r="I50" s="8"/>
      <c r="J50" s="8"/>
    </row>
    <row r="51">
      <c r="G51" s="8"/>
      <c r="H51" s="8"/>
      <c r="I51" s="8"/>
      <c r="J51" s="8"/>
    </row>
    <row r="52">
      <c r="G52" s="8"/>
      <c r="H52" s="8"/>
      <c r="I52" s="8"/>
      <c r="J52" s="8"/>
    </row>
    <row r="53">
      <c r="G53" s="8"/>
      <c r="H53" s="8"/>
      <c r="I53" s="8"/>
      <c r="J53" s="8"/>
    </row>
    <row r="54">
      <c r="G54" s="8"/>
      <c r="H54" s="8"/>
      <c r="I54" s="8"/>
      <c r="J54" s="8"/>
    </row>
    <row r="55">
      <c r="G55" s="8"/>
      <c r="H55" s="8"/>
      <c r="I55" s="8"/>
      <c r="J55" s="8"/>
    </row>
    <row r="56">
      <c r="G56" s="8"/>
      <c r="H56" s="8"/>
      <c r="I56" s="8"/>
      <c r="J56" s="8"/>
    </row>
    <row r="57">
      <c r="G57" s="8"/>
      <c r="H57" s="8"/>
      <c r="I57" s="8"/>
      <c r="J57" s="8"/>
    </row>
    <row r="58">
      <c r="G58" s="8"/>
      <c r="H58" s="8"/>
      <c r="I58" s="8"/>
      <c r="J58" s="8"/>
    </row>
    <row r="59">
      <c r="G59" s="8"/>
      <c r="H59" s="8"/>
      <c r="I59" s="8"/>
      <c r="J59" s="8"/>
    </row>
    <row r="60">
      <c r="G60" s="8"/>
      <c r="H60" s="8"/>
      <c r="I60" s="8"/>
      <c r="J60" s="8"/>
    </row>
    <row r="61">
      <c r="G61" s="8"/>
      <c r="H61" s="8"/>
      <c r="I61" s="8"/>
      <c r="J61" s="8"/>
    </row>
    <row r="62">
      <c r="G62" s="8"/>
      <c r="H62" s="8"/>
      <c r="I62" s="8"/>
      <c r="J62" s="8"/>
    </row>
    <row r="63">
      <c r="G63" s="8"/>
      <c r="H63" s="8"/>
      <c r="I63" s="8"/>
      <c r="J63" s="8"/>
    </row>
    <row r="64">
      <c r="G64" s="8"/>
      <c r="H64" s="8"/>
      <c r="I64" s="8"/>
      <c r="J64" s="8"/>
    </row>
    <row r="65">
      <c r="G65" s="8"/>
      <c r="H65" s="8"/>
      <c r="I65" s="8"/>
      <c r="J65" s="8"/>
    </row>
    <row r="66">
      <c r="G66" s="8"/>
      <c r="H66" s="8"/>
      <c r="I66" s="8"/>
      <c r="J66" s="8"/>
    </row>
    <row r="67">
      <c r="G67" s="8"/>
      <c r="H67" s="8"/>
      <c r="I67" s="8"/>
      <c r="J67" s="8"/>
    </row>
    <row r="68">
      <c r="G68" s="8"/>
      <c r="H68" s="8"/>
      <c r="I68" s="8"/>
      <c r="J68" s="8"/>
    </row>
    <row r="69">
      <c r="G69" s="8"/>
      <c r="H69" s="8"/>
      <c r="I69" s="8"/>
      <c r="J69" s="8"/>
    </row>
    <row r="70">
      <c r="G70" s="8"/>
      <c r="H70" s="8"/>
      <c r="I70" s="8"/>
      <c r="J70" s="8"/>
    </row>
    <row r="71">
      <c r="G71" s="8"/>
      <c r="H71" s="8"/>
      <c r="I71" s="8"/>
      <c r="J71" s="8"/>
    </row>
    <row r="72">
      <c r="G72" s="8"/>
      <c r="H72" s="8"/>
      <c r="I72" s="8"/>
      <c r="J72" s="8"/>
    </row>
    <row r="73">
      <c r="G73" s="8"/>
      <c r="H73" s="8"/>
      <c r="I73" s="8"/>
      <c r="J73" s="8"/>
    </row>
    <row r="74">
      <c r="G74" s="8"/>
      <c r="H74" s="8"/>
      <c r="I74" s="8"/>
      <c r="J74" s="8"/>
    </row>
    <row r="75">
      <c r="G75" s="8"/>
      <c r="H75" s="8"/>
      <c r="I75" s="8"/>
      <c r="J75" s="8"/>
    </row>
    <row r="76">
      <c r="G76" s="8"/>
      <c r="H76" s="8"/>
      <c r="I76" s="8"/>
      <c r="J76" s="8"/>
    </row>
    <row r="77">
      <c r="G77" s="8"/>
      <c r="H77" s="8"/>
      <c r="I77" s="8"/>
      <c r="J77" s="8"/>
    </row>
    <row r="78">
      <c r="G78" s="8"/>
      <c r="H78" s="8"/>
      <c r="I78" s="8"/>
      <c r="J78" s="8"/>
    </row>
    <row r="79">
      <c r="G79" s="8"/>
      <c r="H79" s="8"/>
      <c r="I79" s="8"/>
      <c r="J79" s="8"/>
    </row>
    <row r="80">
      <c r="G80" s="8"/>
      <c r="H80" s="8"/>
      <c r="I80" s="8"/>
      <c r="J80" s="8"/>
    </row>
    <row r="81">
      <c r="G81" s="8"/>
      <c r="H81" s="8"/>
      <c r="I81" s="8"/>
      <c r="J81" s="8"/>
    </row>
    <row r="82">
      <c r="G82" s="8"/>
      <c r="H82" s="8"/>
      <c r="I82" s="8"/>
      <c r="J82" s="8"/>
    </row>
    <row r="83">
      <c r="G83" s="8"/>
      <c r="H83" s="8"/>
      <c r="I83" s="8"/>
      <c r="J83" s="8"/>
    </row>
    <row r="84">
      <c r="G84" s="8"/>
      <c r="H84" s="8"/>
      <c r="I84" s="8"/>
      <c r="J84" s="8"/>
    </row>
    <row r="85">
      <c r="G85" s="8"/>
      <c r="H85" s="8"/>
      <c r="I85" s="8"/>
      <c r="J85" s="8"/>
    </row>
    <row r="86">
      <c r="G86" s="8"/>
      <c r="H86" s="8"/>
      <c r="I86" s="8"/>
      <c r="J86" s="8"/>
    </row>
    <row r="87">
      <c r="G87" s="8"/>
      <c r="H87" s="8"/>
      <c r="I87" s="8"/>
      <c r="J87" s="8"/>
    </row>
    <row r="88">
      <c r="G88" s="8"/>
      <c r="H88" s="8"/>
      <c r="I88" s="8"/>
      <c r="J88" s="8"/>
    </row>
    <row r="89">
      <c r="G89" s="8"/>
      <c r="H89" s="8"/>
      <c r="I89" s="8"/>
      <c r="J89" s="8"/>
    </row>
    <row r="90">
      <c r="G90" s="8"/>
      <c r="H90" s="8"/>
      <c r="I90" s="8"/>
      <c r="J90" s="8"/>
    </row>
    <row r="91">
      <c r="G91" s="8"/>
      <c r="H91" s="8"/>
      <c r="I91" s="8"/>
      <c r="J91" s="8"/>
    </row>
    <row r="92">
      <c r="G92" s="8"/>
      <c r="H92" s="8"/>
      <c r="I92" s="8"/>
      <c r="J92" s="8"/>
    </row>
    <row r="93">
      <c r="G93" s="8"/>
      <c r="H93" s="8"/>
      <c r="I93" s="8"/>
      <c r="J93" s="8"/>
    </row>
    <row r="94">
      <c r="G94" s="8"/>
      <c r="H94" s="8"/>
      <c r="I94" s="8"/>
      <c r="J94" s="8"/>
    </row>
    <row r="95">
      <c r="G95" s="8"/>
      <c r="H95" s="8"/>
      <c r="I95" s="8"/>
      <c r="J95" s="8"/>
    </row>
    <row r="96">
      <c r="G96" s="8"/>
      <c r="H96" s="8"/>
      <c r="I96" s="8"/>
      <c r="J96" s="8"/>
    </row>
    <row r="97">
      <c r="G97" s="8"/>
      <c r="H97" s="8"/>
      <c r="I97" s="8"/>
      <c r="J97" s="8"/>
    </row>
    <row r="98">
      <c r="G98" s="8"/>
      <c r="H98" s="8"/>
      <c r="I98" s="8"/>
      <c r="J98" s="8"/>
    </row>
    <row r="99">
      <c r="G99" s="8"/>
      <c r="H99" s="8"/>
      <c r="I99" s="8"/>
      <c r="J99" s="8"/>
    </row>
    <row r="100">
      <c r="G100" s="8"/>
      <c r="H100" s="8"/>
      <c r="I100" s="8"/>
      <c r="J100" s="8"/>
    </row>
    <row r="101">
      <c r="G101" s="8"/>
      <c r="H101" s="8"/>
      <c r="I101" s="8"/>
      <c r="J101" s="8"/>
    </row>
    <row r="102">
      <c r="G102" s="8"/>
      <c r="H102" s="8"/>
      <c r="I102" s="8"/>
      <c r="J102" s="8"/>
    </row>
    <row r="103">
      <c r="G103" s="8"/>
      <c r="H103" s="8"/>
      <c r="I103" s="8"/>
      <c r="J103" s="8"/>
    </row>
    <row r="104">
      <c r="G104" s="8"/>
      <c r="H104" s="8"/>
      <c r="I104" s="8"/>
      <c r="J104" s="8"/>
    </row>
    <row r="105">
      <c r="G105" s="8"/>
      <c r="H105" s="8"/>
      <c r="I105" s="8"/>
      <c r="J105" s="8"/>
    </row>
    <row r="106">
      <c r="G106" s="8"/>
      <c r="H106" s="8"/>
      <c r="I106" s="8"/>
      <c r="J106" s="8"/>
    </row>
    <row r="107">
      <c r="G107" s="8"/>
      <c r="H107" s="8"/>
      <c r="I107" s="8"/>
      <c r="J107" s="8"/>
    </row>
    <row r="108">
      <c r="G108" s="8"/>
      <c r="H108" s="8"/>
      <c r="I108" s="8"/>
      <c r="J108" s="8"/>
    </row>
    <row r="109">
      <c r="G109" s="8"/>
      <c r="H109" s="8"/>
      <c r="I109" s="8"/>
      <c r="J109" s="8"/>
    </row>
    <row r="110">
      <c r="G110" s="8"/>
      <c r="H110" s="8"/>
      <c r="I110" s="8"/>
      <c r="J110" s="8"/>
    </row>
    <row r="111">
      <c r="G111" s="8"/>
      <c r="H111" s="8"/>
      <c r="I111" s="8"/>
      <c r="J111" s="8"/>
    </row>
    <row r="112">
      <c r="G112" s="8"/>
      <c r="H112" s="8"/>
      <c r="I112" s="8"/>
      <c r="J112" s="8"/>
    </row>
    <row r="113">
      <c r="G113" s="8"/>
      <c r="H113" s="8"/>
      <c r="I113" s="8"/>
      <c r="J113" s="8"/>
    </row>
    <row r="114">
      <c r="G114" s="8"/>
      <c r="H114" s="8"/>
      <c r="I114" s="8"/>
      <c r="J114" s="8"/>
    </row>
    <row r="115">
      <c r="G115" s="8"/>
      <c r="H115" s="8"/>
      <c r="I115" s="8"/>
      <c r="J115" s="8"/>
    </row>
    <row r="116">
      <c r="G116" s="8"/>
      <c r="H116" s="8"/>
      <c r="I116" s="8"/>
      <c r="J116" s="8"/>
    </row>
    <row r="117">
      <c r="G117" s="8"/>
      <c r="H117" s="8"/>
      <c r="I117" s="8"/>
      <c r="J117" s="8"/>
    </row>
    <row r="118">
      <c r="G118" s="8"/>
      <c r="H118" s="8"/>
      <c r="I118" s="8"/>
      <c r="J118" s="8"/>
    </row>
    <row r="119">
      <c r="G119" s="8"/>
      <c r="H119" s="8"/>
      <c r="I119" s="8"/>
      <c r="J119" s="8"/>
    </row>
    <row r="120">
      <c r="G120" s="8"/>
      <c r="H120" s="8"/>
      <c r="I120" s="8"/>
      <c r="J120" s="8"/>
    </row>
    <row r="121">
      <c r="G121" s="8"/>
      <c r="H121" s="8"/>
      <c r="I121" s="8"/>
      <c r="J121" s="8"/>
    </row>
    <row r="122">
      <c r="G122" s="8"/>
      <c r="H122" s="8"/>
      <c r="I122" s="8"/>
      <c r="J122" s="8"/>
    </row>
    <row r="123">
      <c r="G123" s="8"/>
      <c r="H123" s="8"/>
      <c r="I123" s="8"/>
      <c r="J123" s="8"/>
    </row>
    <row r="124">
      <c r="G124" s="8"/>
      <c r="H124" s="8"/>
      <c r="I124" s="8"/>
      <c r="J124" s="8"/>
    </row>
    <row r="125">
      <c r="G125" s="8"/>
      <c r="H125" s="8"/>
      <c r="I125" s="8"/>
      <c r="J125" s="8"/>
    </row>
    <row r="126">
      <c r="G126" s="8"/>
      <c r="H126" s="8"/>
      <c r="I126" s="8"/>
      <c r="J126" s="8"/>
    </row>
    <row r="127">
      <c r="G127" s="8"/>
      <c r="H127" s="8"/>
      <c r="I127" s="8"/>
      <c r="J127" s="8"/>
    </row>
    <row r="128">
      <c r="G128" s="8"/>
      <c r="H128" s="8"/>
      <c r="I128" s="8"/>
      <c r="J128" s="8"/>
    </row>
    <row r="129">
      <c r="G129" s="8"/>
      <c r="H129" s="8"/>
      <c r="I129" s="8"/>
      <c r="J129" s="8"/>
    </row>
    <row r="130">
      <c r="G130" s="8"/>
      <c r="H130" s="8"/>
      <c r="I130" s="8"/>
      <c r="J130" s="8"/>
    </row>
    <row r="131">
      <c r="G131" s="8"/>
      <c r="H131" s="8"/>
      <c r="I131" s="8"/>
      <c r="J131" s="8"/>
    </row>
    <row r="132">
      <c r="G132" s="8"/>
      <c r="H132" s="8"/>
      <c r="I132" s="8"/>
      <c r="J132" s="8"/>
    </row>
    <row r="133">
      <c r="G133" s="8"/>
      <c r="H133" s="8"/>
      <c r="I133" s="8"/>
      <c r="J133" s="8"/>
    </row>
    <row r="134">
      <c r="G134" s="8"/>
      <c r="H134" s="8"/>
      <c r="I134" s="8"/>
      <c r="J134" s="8"/>
    </row>
    <row r="135">
      <c r="G135" s="8"/>
      <c r="H135" s="8"/>
      <c r="I135" s="8"/>
      <c r="J135" s="8"/>
    </row>
    <row r="136">
      <c r="G136" s="8"/>
      <c r="H136" s="8"/>
      <c r="I136" s="8"/>
      <c r="J136" s="8"/>
    </row>
    <row r="137">
      <c r="G137" s="8"/>
      <c r="H137" s="8"/>
      <c r="I137" s="8"/>
      <c r="J137" s="8"/>
    </row>
    <row r="138">
      <c r="G138" s="8"/>
      <c r="H138" s="8"/>
      <c r="I138" s="8"/>
      <c r="J138" s="8"/>
    </row>
    <row r="139">
      <c r="G139" s="8"/>
      <c r="H139" s="8"/>
      <c r="I139" s="8"/>
      <c r="J139" s="8"/>
    </row>
    <row r="140">
      <c r="G140" s="8"/>
      <c r="H140" s="8"/>
      <c r="I140" s="8"/>
      <c r="J140" s="8"/>
    </row>
    <row r="141">
      <c r="G141" s="8"/>
      <c r="H141" s="8"/>
      <c r="I141" s="8"/>
      <c r="J141" s="8"/>
    </row>
    <row r="142">
      <c r="G142" s="8"/>
      <c r="H142" s="8"/>
      <c r="I142" s="8"/>
      <c r="J142" s="8"/>
    </row>
    <row r="143">
      <c r="G143" s="8"/>
      <c r="H143" s="8"/>
      <c r="I143" s="8"/>
      <c r="J143" s="8"/>
    </row>
    <row r="144">
      <c r="G144" s="8"/>
      <c r="H144" s="8"/>
      <c r="I144" s="8"/>
      <c r="J144" s="8"/>
    </row>
    <row r="145">
      <c r="G145" s="8"/>
      <c r="H145" s="8"/>
      <c r="I145" s="8"/>
      <c r="J145" s="8"/>
    </row>
    <row r="146">
      <c r="G146" s="8"/>
      <c r="H146" s="8"/>
      <c r="I146" s="8"/>
      <c r="J146" s="8"/>
    </row>
    <row r="147">
      <c r="G147" s="8"/>
      <c r="H147" s="8"/>
      <c r="I147" s="8"/>
      <c r="J147" s="8"/>
    </row>
    <row r="148">
      <c r="G148" s="8"/>
      <c r="H148" s="8"/>
      <c r="I148" s="8"/>
      <c r="J148" s="8"/>
    </row>
    <row r="149">
      <c r="G149" s="8"/>
      <c r="H149" s="8"/>
      <c r="I149" s="8"/>
      <c r="J149" s="8"/>
    </row>
    <row r="150">
      <c r="G150" s="8"/>
      <c r="H150" s="8"/>
      <c r="I150" s="8"/>
      <c r="J150" s="8"/>
    </row>
    <row r="151">
      <c r="G151" s="8"/>
      <c r="H151" s="8"/>
      <c r="I151" s="8"/>
      <c r="J151" s="8"/>
    </row>
    <row r="152">
      <c r="G152" s="8"/>
      <c r="H152" s="8"/>
      <c r="I152" s="8"/>
      <c r="J152" s="8"/>
    </row>
    <row r="153">
      <c r="G153" s="8"/>
      <c r="H153" s="8"/>
      <c r="I153" s="8"/>
      <c r="J153" s="8"/>
    </row>
    <row r="154">
      <c r="G154" s="8"/>
      <c r="H154" s="8"/>
      <c r="I154" s="8"/>
      <c r="J154" s="8"/>
    </row>
    <row r="155">
      <c r="G155" s="8"/>
      <c r="H155" s="8"/>
      <c r="I155" s="8"/>
      <c r="J155" s="8"/>
    </row>
    <row r="156">
      <c r="G156" s="8"/>
      <c r="H156" s="8"/>
      <c r="I156" s="8"/>
      <c r="J156" s="8"/>
    </row>
    <row r="157">
      <c r="G157" s="8"/>
      <c r="H157" s="8"/>
      <c r="I157" s="8"/>
      <c r="J157" s="8"/>
    </row>
    <row r="158">
      <c r="G158" s="8"/>
      <c r="H158" s="8"/>
      <c r="I158" s="8"/>
      <c r="J158" s="8"/>
    </row>
    <row r="159">
      <c r="G159" s="8"/>
      <c r="H159" s="8"/>
      <c r="I159" s="8"/>
      <c r="J159" s="8"/>
    </row>
    <row r="160">
      <c r="G160" s="8"/>
      <c r="H160" s="8"/>
      <c r="I160" s="8"/>
      <c r="J160" s="8"/>
    </row>
    <row r="161">
      <c r="G161" s="8"/>
      <c r="H161" s="8"/>
      <c r="I161" s="8"/>
      <c r="J161" s="8"/>
    </row>
    <row r="162">
      <c r="G162" s="8"/>
      <c r="H162" s="8"/>
      <c r="I162" s="8"/>
      <c r="J162" s="8"/>
    </row>
    <row r="163">
      <c r="G163" s="8"/>
      <c r="H163" s="8"/>
      <c r="I163" s="8"/>
      <c r="J163" s="8"/>
    </row>
    <row r="164">
      <c r="G164" s="8"/>
      <c r="H164" s="8"/>
      <c r="I164" s="8"/>
      <c r="J164" s="8"/>
    </row>
    <row r="165">
      <c r="G165" s="8"/>
      <c r="H165" s="8"/>
      <c r="I165" s="8"/>
      <c r="J165" s="8"/>
    </row>
    <row r="166">
      <c r="G166" s="8"/>
      <c r="H166" s="8"/>
      <c r="I166" s="8"/>
      <c r="J166" s="8"/>
    </row>
    <row r="167">
      <c r="G167" s="8"/>
      <c r="H167" s="8"/>
      <c r="I167" s="8"/>
      <c r="J167" s="8"/>
    </row>
    <row r="168">
      <c r="G168" s="8"/>
      <c r="H168" s="8"/>
      <c r="I168" s="8"/>
      <c r="J168" s="8"/>
    </row>
    <row r="169">
      <c r="G169" s="8"/>
      <c r="H169" s="8"/>
      <c r="I169" s="8"/>
      <c r="J169" s="8"/>
    </row>
    <row r="170">
      <c r="G170" s="8"/>
      <c r="H170" s="8"/>
      <c r="I170" s="8"/>
      <c r="J170" s="8"/>
    </row>
    <row r="171">
      <c r="G171" s="8"/>
      <c r="H171" s="8"/>
      <c r="I171" s="8"/>
      <c r="J171" s="8"/>
    </row>
    <row r="172">
      <c r="G172" s="8"/>
      <c r="H172" s="8"/>
      <c r="I172" s="8"/>
      <c r="J172" s="8"/>
    </row>
    <row r="173">
      <c r="G173" s="8"/>
      <c r="H173" s="8"/>
      <c r="I173" s="8"/>
      <c r="J173" s="8"/>
    </row>
    <row r="174">
      <c r="G174" s="8"/>
      <c r="H174" s="8"/>
      <c r="I174" s="8"/>
      <c r="J174" s="8"/>
    </row>
    <row r="175">
      <c r="G175" s="8"/>
      <c r="H175" s="8"/>
      <c r="I175" s="8"/>
      <c r="J175" s="8"/>
    </row>
    <row r="176">
      <c r="G176" s="8"/>
      <c r="H176" s="8"/>
      <c r="I176" s="8"/>
      <c r="J176" s="8"/>
    </row>
    <row r="177">
      <c r="G177" s="8"/>
      <c r="H177" s="8"/>
      <c r="I177" s="8"/>
      <c r="J177" s="8"/>
    </row>
    <row r="178">
      <c r="G178" s="8"/>
      <c r="H178" s="8"/>
      <c r="I178" s="8"/>
      <c r="J178" s="8"/>
    </row>
    <row r="179">
      <c r="G179" s="8"/>
      <c r="H179" s="8"/>
      <c r="I179" s="8"/>
      <c r="J179" s="8"/>
    </row>
    <row r="180">
      <c r="G180" s="8"/>
      <c r="H180" s="8"/>
      <c r="I180" s="8"/>
      <c r="J180" s="8"/>
    </row>
    <row r="181">
      <c r="G181" s="8"/>
      <c r="H181" s="8"/>
      <c r="I181" s="8"/>
      <c r="J181" s="8"/>
    </row>
    <row r="182">
      <c r="G182" s="8"/>
      <c r="H182" s="8"/>
      <c r="I182" s="8"/>
      <c r="J182" s="8"/>
    </row>
    <row r="183">
      <c r="G183" s="8"/>
      <c r="H183" s="8"/>
      <c r="I183" s="8"/>
      <c r="J183" s="8"/>
    </row>
    <row r="184">
      <c r="G184" s="8"/>
      <c r="H184" s="8"/>
      <c r="I184" s="8"/>
      <c r="J184" s="8"/>
    </row>
    <row r="185">
      <c r="G185" s="8"/>
      <c r="H185" s="8"/>
      <c r="I185" s="8"/>
      <c r="J185" s="8"/>
    </row>
    <row r="186">
      <c r="G186" s="8"/>
      <c r="H186" s="8"/>
      <c r="I186" s="8"/>
      <c r="J186" s="8"/>
    </row>
    <row r="187">
      <c r="G187" s="8"/>
      <c r="H187" s="8"/>
      <c r="I187" s="8"/>
      <c r="J187" s="8"/>
    </row>
    <row r="188">
      <c r="G188" s="8"/>
      <c r="H188" s="8"/>
      <c r="I188" s="8"/>
      <c r="J188" s="8"/>
    </row>
    <row r="189">
      <c r="G189" s="8"/>
      <c r="H189" s="8"/>
      <c r="I189" s="8"/>
      <c r="J189" s="8"/>
    </row>
    <row r="190">
      <c r="G190" s="8"/>
      <c r="H190" s="8"/>
      <c r="I190" s="8"/>
      <c r="J190" s="8"/>
    </row>
    <row r="191">
      <c r="G191" s="8"/>
      <c r="H191" s="8"/>
      <c r="I191" s="8"/>
      <c r="J191" s="8"/>
    </row>
    <row r="192">
      <c r="G192" s="8"/>
      <c r="H192" s="8"/>
      <c r="I192" s="8"/>
      <c r="J192" s="8"/>
    </row>
    <row r="193">
      <c r="G193" s="8"/>
      <c r="H193" s="8"/>
      <c r="I193" s="8"/>
      <c r="J193" s="8"/>
    </row>
    <row r="194">
      <c r="G194" s="8"/>
      <c r="H194" s="8"/>
      <c r="I194" s="8"/>
      <c r="J194" s="8"/>
    </row>
    <row r="195">
      <c r="G195" s="8"/>
      <c r="H195" s="8"/>
      <c r="I195" s="8"/>
      <c r="J195" s="8"/>
    </row>
    <row r="196">
      <c r="G196" s="8"/>
      <c r="H196" s="8"/>
      <c r="I196" s="8"/>
      <c r="J196" s="8"/>
    </row>
    <row r="197">
      <c r="G197" s="8"/>
      <c r="H197" s="8"/>
      <c r="I197" s="8"/>
      <c r="J197" s="8"/>
    </row>
    <row r="198">
      <c r="G198" s="8"/>
      <c r="H198" s="8"/>
      <c r="I198" s="8"/>
      <c r="J198" s="8"/>
    </row>
    <row r="199">
      <c r="G199" s="8"/>
      <c r="H199" s="8"/>
      <c r="I199" s="8"/>
      <c r="J199" s="8"/>
    </row>
    <row r="200">
      <c r="G200" s="8"/>
      <c r="H200" s="8"/>
      <c r="I200" s="8"/>
      <c r="J200" s="8"/>
    </row>
    <row r="201">
      <c r="G201" s="8"/>
      <c r="H201" s="8"/>
      <c r="I201" s="8"/>
      <c r="J201" s="8"/>
    </row>
    <row r="202">
      <c r="G202" s="8"/>
      <c r="H202" s="8"/>
      <c r="I202" s="8"/>
      <c r="J202" s="8"/>
    </row>
    <row r="203">
      <c r="G203" s="8"/>
      <c r="H203" s="8"/>
      <c r="I203" s="8"/>
      <c r="J203" s="8"/>
    </row>
    <row r="204">
      <c r="G204" s="8"/>
      <c r="H204" s="8"/>
      <c r="I204" s="8"/>
      <c r="J204" s="8"/>
    </row>
    <row r="205">
      <c r="G205" s="8"/>
      <c r="H205" s="8"/>
      <c r="I205" s="8"/>
      <c r="J205" s="8"/>
    </row>
    <row r="206">
      <c r="G206" s="8"/>
      <c r="H206" s="8"/>
      <c r="I206" s="8"/>
      <c r="J206" s="8"/>
    </row>
    <row r="207">
      <c r="G207" s="8"/>
      <c r="H207" s="8"/>
      <c r="I207" s="8"/>
      <c r="J207" s="8"/>
    </row>
    <row r="208">
      <c r="G208" s="8"/>
      <c r="H208" s="8"/>
      <c r="I208" s="8"/>
      <c r="J208" s="8"/>
    </row>
    <row r="209">
      <c r="G209" s="8"/>
      <c r="H209" s="8"/>
      <c r="I209" s="8"/>
      <c r="J209" s="8"/>
    </row>
    <row r="210">
      <c r="G210" s="8"/>
      <c r="H210" s="8"/>
      <c r="I210" s="8"/>
      <c r="J210" s="8"/>
    </row>
    <row r="211">
      <c r="G211" s="8"/>
      <c r="H211" s="8"/>
      <c r="I211" s="8"/>
      <c r="J211" s="8"/>
    </row>
    <row r="212">
      <c r="G212" s="8"/>
      <c r="H212" s="8"/>
      <c r="I212" s="8"/>
      <c r="J212" s="8"/>
    </row>
    <row r="213">
      <c r="G213" s="8"/>
      <c r="H213" s="8"/>
      <c r="I213" s="8"/>
      <c r="J213" s="8"/>
    </row>
    <row r="214">
      <c r="G214" s="8"/>
      <c r="H214" s="8"/>
      <c r="I214" s="8"/>
      <c r="J214" s="8"/>
    </row>
    <row r="215">
      <c r="G215" s="8"/>
      <c r="H215" s="8"/>
      <c r="I215" s="8"/>
      <c r="J215" s="8"/>
    </row>
    <row r="216">
      <c r="G216" s="8"/>
      <c r="H216" s="8"/>
      <c r="I216" s="8"/>
      <c r="J216" s="8"/>
    </row>
    <row r="217">
      <c r="G217" s="8"/>
      <c r="H217" s="8"/>
      <c r="I217" s="8"/>
      <c r="J217" s="8"/>
    </row>
    <row r="218">
      <c r="G218" s="8"/>
      <c r="H218" s="8"/>
      <c r="I218" s="8"/>
      <c r="J218" s="8"/>
    </row>
    <row r="219">
      <c r="G219" s="8"/>
      <c r="H219" s="8"/>
      <c r="I219" s="8"/>
      <c r="J219" s="8"/>
    </row>
    <row r="220">
      <c r="G220" s="8"/>
      <c r="H220" s="8"/>
      <c r="I220" s="8"/>
      <c r="J220" s="8"/>
    </row>
    <row r="221">
      <c r="G221" s="8"/>
      <c r="H221" s="8"/>
      <c r="I221" s="8"/>
      <c r="J221" s="8"/>
    </row>
    <row r="222">
      <c r="G222" s="8"/>
      <c r="H222" s="8"/>
      <c r="I222" s="8"/>
      <c r="J222" s="8"/>
    </row>
    <row r="223">
      <c r="G223" s="8"/>
      <c r="H223" s="8"/>
      <c r="I223" s="8"/>
      <c r="J223" s="8"/>
    </row>
    <row r="224">
      <c r="G224" s="8"/>
      <c r="H224" s="8"/>
      <c r="I224" s="8"/>
      <c r="J224" s="8"/>
    </row>
    <row r="225">
      <c r="G225" s="8"/>
      <c r="H225" s="8"/>
      <c r="I225" s="8"/>
      <c r="J225" s="8"/>
    </row>
    <row r="226">
      <c r="G226" s="8"/>
      <c r="H226" s="8"/>
      <c r="I226" s="8"/>
      <c r="J226" s="8"/>
    </row>
    <row r="227">
      <c r="G227" s="8"/>
      <c r="H227" s="8"/>
      <c r="I227" s="8"/>
      <c r="J227" s="8"/>
    </row>
    <row r="228">
      <c r="G228" s="8"/>
      <c r="H228" s="8"/>
      <c r="I228" s="8"/>
      <c r="J228" s="8"/>
    </row>
    <row r="229">
      <c r="G229" s="8"/>
      <c r="H229" s="8"/>
      <c r="I229" s="8"/>
      <c r="J229" s="8"/>
    </row>
    <row r="230">
      <c r="G230" s="8"/>
      <c r="H230" s="8"/>
      <c r="I230" s="8"/>
      <c r="J230" s="8"/>
    </row>
    <row r="231">
      <c r="G231" s="8"/>
      <c r="H231" s="8"/>
      <c r="I231" s="8"/>
      <c r="J231" s="8"/>
    </row>
    <row r="232">
      <c r="G232" s="8"/>
      <c r="H232" s="8"/>
      <c r="I232" s="8"/>
      <c r="J232" s="8"/>
    </row>
    <row r="233">
      <c r="G233" s="8"/>
      <c r="H233" s="8"/>
      <c r="I233" s="8"/>
      <c r="J233" s="8"/>
    </row>
    <row r="234">
      <c r="G234" s="8"/>
      <c r="H234" s="8"/>
      <c r="I234" s="8"/>
      <c r="J234" s="8"/>
    </row>
    <row r="235">
      <c r="G235" s="8"/>
      <c r="H235" s="8"/>
      <c r="I235" s="8"/>
      <c r="J235" s="8"/>
    </row>
    <row r="236">
      <c r="G236" s="8"/>
      <c r="H236" s="8"/>
      <c r="I236" s="8"/>
      <c r="J236" s="8"/>
    </row>
    <row r="237">
      <c r="G237" s="8"/>
      <c r="H237" s="8"/>
      <c r="I237" s="8"/>
      <c r="J237" s="8"/>
    </row>
    <row r="238">
      <c r="G238" s="8"/>
      <c r="H238" s="8"/>
      <c r="I238" s="8"/>
      <c r="J238" s="8"/>
    </row>
    <row r="239">
      <c r="G239" s="8"/>
      <c r="H239" s="8"/>
      <c r="I239" s="8"/>
      <c r="J239" s="8"/>
    </row>
    <row r="240">
      <c r="G240" s="8"/>
      <c r="H240" s="8"/>
      <c r="I240" s="8"/>
      <c r="J240" s="8"/>
    </row>
    <row r="241">
      <c r="G241" s="8"/>
      <c r="H241" s="8"/>
      <c r="I241" s="8"/>
      <c r="J241" s="8"/>
    </row>
    <row r="242">
      <c r="G242" s="8"/>
      <c r="H242" s="8"/>
      <c r="I242" s="8"/>
      <c r="J242" s="8"/>
    </row>
    <row r="243">
      <c r="G243" s="8"/>
      <c r="H243" s="8"/>
      <c r="I243" s="8"/>
      <c r="J243" s="8"/>
    </row>
    <row r="244">
      <c r="G244" s="8"/>
      <c r="H244" s="8"/>
      <c r="I244" s="8"/>
      <c r="J244" s="8"/>
    </row>
    <row r="245">
      <c r="G245" s="8"/>
      <c r="H245" s="8"/>
      <c r="I245" s="8"/>
      <c r="J245" s="8"/>
    </row>
    <row r="246">
      <c r="G246" s="8"/>
      <c r="H246" s="8"/>
      <c r="I246" s="8"/>
      <c r="J246" s="8"/>
    </row>
    <row r="247">
      <c r="G247" s="8"/>
      <c r="H247" s="8"/>
      <c r="I247" s="8"/>
      <c r="J247" s="8"/>
    </row>
    <row r="248">
      <c r="G248" s="8"/>
      <c r="H248" s="8"/>
      <c r="I248" s="8"/>
      <c r="J248" s="8"/>
    </row>
    <row r="249">
      <c r="G249" s="8"/>
      <c r="H249" s="8"/>
      <c r="I249" s="8"/>
      <c r="J249" s="8"/>
    </row>
    <row r="250">
      <c r="G250" s="8"/>
      <c r="H250" s="8"/>
      <c r="I250" s="8"/>
      <c r="J250" s="8"/>
    </row>
    <row r="251">
      <c r="G251" s="8"/>
      <c r="H251" s="8"/>
      <c r="I251" s="8"/>
      <c r="J251" s="8"/>
    </row>
    <row r="252">
      <c r="G252" s="8"/>
      <c r="H252" s="8"/>
      <c r="I252" s="8"/>
      <c r="J252" s="8"/>
    </row>
    <row r="253">
      <c r="G253" s="8"/>
      <c r="H253" s="8"/>
      <c r="I253" s="8"/>
      <c r="J253" s="8"/>
    </row>
    <row r="254">
      <c r="G254" s="8"/>
      <c r="H254" s="8"/>
      <c r="I254" s="8"/>
      <c r="J254" s="8"/>
    </row>
    <row r="255">
      <c r="G255" s="8"/>
      <c r="H255" s="8"/>
      <c r="I255" s="8"/>
      <c r="J255" s="8"/>
    </row>
    <row r="256">
      <c r="G256" s="8"/>
      <c r="H256" s="8"/>
      <c r="I256" s="8"/>
      <c r="J256" s="8"/>
    </row>
    <row r="257">
      <c r="G257" s="8"/>
      <c r="H257" s="8"/>
      <c r="I257" s="8"/>
      <c r="J257" s="8"/>
    </row>
    <row r="258">
      <c r="G258" s="8"/>
      <c r="H258" s="8"/>
      <c r="I258" s="8"/>
      <c r="J258" s="8"/>
    </row>
    <row r="259">
      <c r="G259" s="8"/>
      <c r="H259" s="8"/>
      <c r="I259" s="8"/>
      <c r="J259" s="8"/>
    </row>
    <row r="260">
      <c r="G260" s="8"/>
      <c r="H260" s="8"/>
      <c r="I260" s="8"/>
      <c r="J260" s="8"/>
    </row>
    <row r="261">
      <c r="G261" s="8"/>
      <c r="H261" s="8"/>
      <c r="I261" s="8"/>
      <c r="J261" s="8"/>
    </row>
    <row r="262">
      <c r="G262" s="8"/>
      <c r="H262" s="8"/>
      <c r="I262" s="8"/>
      <c r="J262" s="8"/>
    </row>
    <row r="263">
      <c r="G263" s="8"/>
      <c r="H263" s="8"/>
      <c r="I263" s="8"/>
      <c r="J263" s="8"/>
    </row>
    <row r="264">
      <c r="G264" s="8"/>
      <c r="H264" s="8"/>
      <c r="I264" s="8"/>
      <c r="J264" s="8"/>
    </row>
    <row r="265">
      <c r="G265" s="8"/>
      <c r="H265" s="8"/>
      <c r="I265" s="8"/>
      <c r="J265" s="8"/>
    </row>
    <row r="266">
      <c r="G266" s="8"/>
      <c r="H266" s="8"/>
      <c r="I266" s="8"/>
      <c r="J266" s="8"/>
    </row>
    <row r="267">
      <c r="G267" s="8"/>
      <c r="H267" s="8"/>
      <c r="I267" s="8"/>
      <c r="J267" s="8"/>
    </row>
    <row r="268">
      <c r="G268" s="8"/>
      <c r="H268" s="8"/>
      <c r="I268" s="8"/>
      <c r="J268" s="8"/>
    </row>
    <row r="269">
      <c r="G269" s="8"/>
      <c r="H269" s="8"/>
      <c r="I269" s="8"/>
      <c r="J269" s="8"/>
    </row>
    <row r="270">
      <c r="G270" s="8"/>
      <c r="H270" s="8"/>
      <c r="I270" s="8"/>
      <c r="J270" s="8"/>
    </row>
    <row r="271">
      <c r="G271" s="8"/>
      <c r="H271" s="8"/>
      <c r="I271" s="8"/>
      <c r="J271" s="8"/>
    </row>
    <row r="272">
      <c r="G272" s="8"/>
      <c r="H272" s="8"/>
      <c r="I272" s="8"/>
      <c r="J272" s="8"/>
    </row>
    <row r="273">
      <c r="G273" s="8"/>
      <c r="H273" s="8"/>
      <c r="I273" s="8"/>
      <c r="J273" s="8"/>
    </row>
    <row r="274">
      <c r="G274" s="8"/>
      <c r="H274" s="8"/>
      <c r="I274" s="8"/>
      <c r="J274" s="8"/>
    </row>
    <row r="275">
      <c r="G275" s="8"/>
      <c r="H275" s="8"/>
      <c r="I275" s="8"/>
      <c r="J275" s="8"/>
    </row>
    <row r="276">
      <c r="G276" s="8"/>
      <c r="H276" s="8"/>
      <c r="I276" s="8"/>
      <c r="J276" s="8"/>
    </row>
    <row r="277">
      <c r="G277" s="8"/>
      <c r="H277" s="8"/>
      <c r="I277" s="8"/>
      <c r="J277" s="8"/>
    </row>
    <row r="278">
      <c r="G278" s="8"/>
      <c r="H278" s="8"/>
      <c r="I278" s="8"/>
      <c r="J278" s="8"/>
    </row>
    <row r="279">
      <c r="G279" s="8"/>
      <c r="H279" s="8"/>
      <c r="I279" s="8"/>
      <c r="J279" s="8"/>
    </row>
    <row r="280">
      <c r="G280" s="8"/>
      <c r="H280" s="8"/>
      <c r="I280" s="8"/>
      <c r="J280" s="8"/>
    </row>
    <row r="281">
      <c r="G281" s="8"/>
      <c r="H281" s="8"/>
      <c r="I281" s="8"/>
      <c r="J281" s="8"/>
    </row>
    <row r="282">
      <c r="G282" s="8"/>
      <c r="H282" s="8"/>
      <c r="I282" s="8"/>
      <c r="J282" s="8"/>
    </row>
    <row r="283">
      <c r="G283" s="8"/>
      <c r="H283" s="8"/>
      <c r="I283" s="8"/>
      <c r="J283" s="8"/>
    </row>
    <row r="284">
      <c r="G284" s="8"/>
      <c r="H284" s="8"/>
      <c r="I284" s="8"/>
      <c r="J284" s="8"/>
    </row>
    <row r="285">
      <c r="G285" s="8"/>
      <c r="H285" s="8"/>
      <c r="I285" s="8"/>
      <c r="J285" s="8"/>
    </row>
    <row r="286">
      <c r="G286" s="8"/>
      <c r="H286" s="8"/>
      <c r="I286" s="8"/>
      <c r="J286" s="8"/>
    </row>
    <row r="287">
      <c r="G287" s="8"/>
      <c r="H287" s="8"/>
      <c r="I287" s="8"/>
      <c r="J287" s="8"/>
    </row>
    <row r="288">
      <c r="G288" s="8"/>
      <c r="H288" s="8"/>
      <c r="I288" s="8"/>
      <c r="J288" s="8"/>
    </row>
    <row r="289">
      <c r="G289" s="8"/>
      <c r="H289" s="8"/>
      <c r="I289" s="8"/>
      <c r="J289" s="8"/>
    </row>
    <row r="290">
      <c r="G290" s="8"/>
      <c r="H290" s="8"/>
      <c r="I290" s="8"/>
      <c r="J290" s="8"/>
    </row>
    <row r="291">
      <c r="G291" s="8"/>
      <c r="H291" s="8"/>
      <c r="I291" s="8"/>
      <c r="J291" s="8"/>
    </row>
    <row r="292">
      <c r="G292" s="8"/>
      <c r="H292" s="8"/>
      <c r="I292" s="8"/>
      <c r="J292" s="8"/>
    </row>
    <row r="293">
      <c r="G293" s="8"/>
      <c r="H293" s="8"/>
      <c r="I293" s="8"/>
      <c r="J293" s="8"/>
    </row>
    <row r="294">
      <c r="G294" s="8"/>
      <c r="H294" s="8"/>
      <c r="I294" s="8"/>
      <c r="J294" s="8"/>
    </row>
    <row r="295">
      <c r="G295" s="8"/>
      <c r="H295" s="8"/>
      <c r="I295" s="8"/>
      <c r="J295" s="8"/>
    </row>
    <row r="296">
      <c r="G296" s="8"/>
      <c r="H296" s="8"/>
      <c r="I296" s="8"/>
      <c r="J296" s="8"/>
    </row>
    <row r="297">
      <c r="G297" s="8"/>
      <c r="H297" s="8"/>
      <c r="I297" s="8"/>
      <c r="J297" s="8"/>
    </row>
    <row r="298">
      <c r="G298" s="8"/>
      <c r="H298" s="8"/>
      <c r="I298" s="8"/>
      <c r="J298" s="8"/>
    </row>
    <row r="299">
      <c r="G299" s="8"/>
      <c r="H299" s="8"/>
      <c r="I299" s="8"/>
      <c r="J299" s="8"/>
    </row>
    <row r="300">
      <c r="G300" s="8"/>
      <c r="H300" s="8"/>
      <c r="I300" s="8"/>
      <c r="J300" s="8"/>
    </row>
    <row r="301">
      <c r="G301" s="8"/>
      <c r="H301" s="8"/>
      <c r="I301" s="8"/>
      <c r="J301" s="8"/>
    </row>
    <row r="302">
      <c r="G302" s="8"/>
      <c r="H302" s="8"/>
      <c r="I302" s="8"/>
      <c r="J302" s="8"/>
    </row>
    <row r="303">
      <c r="G303" s="8"/>
      <c r="H303" s="8"/>
      <c r="I303" s="8"/>
      <c r="J303" s="8"/>
    </row>
    <row r="304">
      <c r="G304" s="8"/>
      <c r="H304" s="8"/>
      <c r="I304" s="8"/>
      <c r="J304" s="8"/>
    </row>
    <row r="305">
      <c r="G305" s="8"/>
      <c r="H305" s="8"/>
      <c r="I305" s="8"/>
      <c r="J305" s="8"/>
    </row>
    <row r="306">
      <c r="G306" s="8"/>
      <c r="H306" s="8"/>
      <c r="I306" s="8"/>
      <c r="J306" s="8"/>
    </row>
    <row r="307">
      <c r="G307" s="8"/>
      <c r="H307" s="8"/>
      <c r="I307" s="8"/>
      <c r="J307" s="8"/>
    </row>
    <row r="308">
      <c r="G308" s="8"/>
      <c r="H308" s="8"/>
      <c r="I308" s="8"/>
      <c r="J308" s="8"/>
    </row>
    <row r="309">
      <c r="G309" s="8"/>
      <c r="H309" s="8"/>
      <c r="I309" s="8"/>
      <c r="J309" s="8"/>
    </row>
    <row r="310">
      <c r="G310" s="8"/>
      <c r="H310" s="8"/>
      <c r="I310" s="8"/>
      <c r="J310" s="8"/>
    </row>
    <row r="311">
      <c r="G311" s="8"/>
      <c r="H311" s="8"/>
      <c r="I311" s="8"/>
      <c r="J311" s="8"/>
    </row>
    <row r="312">
      <c r="G312" s="8"/>
      <c r="H312" s="8"/>
      <c r="I312" s="8"/>
      <c r="J312" s="8"/>
    </row>
    <row r="313">
      <c r="G313" s="8"/>
      <c r="H313" s="8"/>
      <c r="I313" s="8"/>
      <c r="J313" s="8"/>
    </row>
    <row r="314">
      <c r="G314" s="8"/>
      <c r="H314" s="8"/>
      <c r="I314" s="8"/>
      <c r="J314" s="8"/>
    </row>
    <row r="315">
      <c r="G315" s="8"/>
      <c r="H315" s="8"/>
      <c r="I315" s="8"/>
      <c r="J315" s="8"/>
    </row>
    <row r="316">
      <c r="G316" s="8"/>
      <c r="H316" s="8"/>
      <c r="I316" s="8"/>
      <c r="J316" s="8"/>
    </row>
    <row r="317">
      <c r="G317" s="8"/>
      <c r="H317" s="8"/>
      <c r="I317" s="8"/>
      <c r="J317" s="8"/>
    </row>
    <row r="318">
      <c r="G318" s="8"/>
      <c r="H318" s="8"/>
      <c r="I318" s="8"/>
      <c r="J318" s="8"/>
    </row>
    <row r="319">
      <c r="G319" s="8"/>
      <c r="H319" s="8"/>
      <c r="I319" s="8"/>
      <c r="J319" s="8"/>
    </row>
    <row r="320">
      <c r="G320" s="8"/>
      <c r="H320" s="8"/>
      <c r="I320" s="8"/>
      <c r="J320" s="8"/>
    </row>
    <row r="321">
      <c r="G321" s="8"/>
      <c r="H321" s="8"/>
      <c r="I321" s="8"/>
      <c r="J321" s="8"/>
    </row>
    <row r="322">
      <c r="G322" s="8"/>
      <c r="H322" s="8"/>
      <c r="I322" s="8"/>
      <c r="J322" s="8"/>
    </row>
    <row r="323">
      <c r="G323" s="8"/>
      <c r="H323" s="8"/>
      <c r="I323" s="8"/>
      <c r="J323" s="8"/>
    </row>
    <row r="324">
      <c r="G324" s="8"/>
      <c r="H324" s="8"/>
      <c r="I324" s="8"/>
      <c r="J324" s="8"/>
    </row>
    <row r="325">
      <c r="G325" s="8"/>
      <c r="H325" s="8"/>
      <c r="I325" s="8"/>
      <c r="J325" s="8"/>
    </row>
    <row r="326">
      <c r="G326" s="8"/>
      <c r="H326" s="8"/>
      <c r="I326" s="8"/>
      <c r="J326" s="8"/>
    </row>
    <row r="327">
      <c r="G327" s="8"/>
      <c r="H327" s="8"/>
      <c r="I327" s="8"/>
      <c r="J327" s="8"/>
    </row>
    <row r="328">
      <c r="G328" s="8"/>
      <c r="H328" s="8"/>
      <c r="I328" s="8"/>
      <c r="J328" s="8"/>
    </row>
    <row r="329">
      <c r="G329" s="8"/>
      <c r="H329" s="8"/>
      <c r="I329" s="8"/>
      <c r="J329" s="8"/>
    </row>
    <row r="330">
      <c r="G330" s="8"/>
      <c r="H330" s="8"/>
      <c r="I330" s="8"/>
      <c r="J330" s="8"/>
    </row>
    <row r="331">
      <c r="G331" s="8"/>
      <c r="H331" s="8"/>
      <c r="I331" s="8"/>
      <c r="J331" s="8"/>
    </row>
    <row r="332">
      <c r="G332" s="8"/>
      <c r="H332" s="8"/>
      <c r="I332" s="8"/>
      <c r="J332" s="8"/>
    </row>
    <row r="333">
      <c r="G333" s="8"/>
      <c r="H333" s="8"/>
      <c r="I333" s="8"/>
      <c r="J333" s="8"/>
    </row>
    <row r="334">
      <c r="G334" s="8"/>
      <c r="H334" s="8"/>
      <c r="I334" s="8"/>
      <c r="J334" s="8"/>
    </row>
    <row r="335">
      <c r="G335" s="8"/>
      <c r="H335" s="8"/>
      <c r="I335" s="8"/>
      <c r="J335" s="8"/>
    </row>
    <row r="336">
      <c r="G336" s="8"/>
      <c r="H336" s="8"/>
      <c r="I336" s="8"/>
      <c r="J336" s="8"/>
    </row>
    <row r="337">
      <c r="G337" s="8"/>
      <c r="H337" s="8"/>
      <c r="I337" s="8"/>
      <c r="J337" s="8"/>
    </row>
    <row r="338">
      <c r="G338" s="8"/>
      <c r="H338" s="8"/>
      <c r="I338" s="8"/>
      <c r="J338" s="8"/>
    </row>
    <row r="339">
      <c r="G339" s="8"/>
      <c r="H339" s="8"/>
      <c r="I339" s="8"/>
      <c r="J339" s="8"/>
    </row>
    <row r="340">
      <c r="G340" s="8"/>
      <c r="H340" s="8"/>
      <c r="I340" s="8"/>
      <c r="J340" s="8"/>
    </row>
    <row r="341">
      <c r="G341" s="8"/>
      <c r="H341" s="8"/>
      <c r="I341" s="8"/>
      <c r="J341" s="8"/>
    </row>
    <row r="342">
      <c r="G342" s="8"/>
      <c r="H342" s="8"/>
      <c r="I342" s="8"/>
      <c r="J342" s="8"/>
    </row>
    <row r="343">
      <c r="G343" s="8"/>
      <c r="H343" s="8"/>
      <c r="I343" s="8"/>
      <c r="J343" s="8"/>
    </row>
    <row r="344">
      <c r="G344" s="8"/>
      <c r="H344" s="8"/>
      <c r="I344" s="8"/>
      <c r="J344" s="8"/>
    </row>
    <row r="345">
      <c r="G345" s="8"/>
      <c r="H345" s="8"/>
      <c r="I345" s="8"/>
      <c r="J345" s="8"/>
    </row>
    <row r="346">
      <c r="G346" s="8"/>
      <c r="H346" s="8"/>
      <c r="I346" s="8"/>
      <c r="J346" s="8"/>
    </row>
    <row r="347">
      <c r="G347" s="8"/>
      <c r="H347" s="8"/>
      <c r="I347" s="8"/>
      <c r="J347" s="8"/>
    </row>
    <row r="348">
      <c r="G348" s="8"/>
      <c r="H348" s="8"/>
      <c r="I348" s="8"/>
      <c r="J348" s="8"/>
    </row>
    <row r="349">
      <c r="G349" s="8"/>
      <c r="H349" s="8"/>
      <c r="I349" s="8"/>
      <c r="J349" s="8"/>
    </row>
    <row r="350">
      <c r="G350" s="8"/>
      <c r="H350" s="8"/>
      <c r="I350" s="8"/>
      <c r="J350" s="8"/>
    </row>
    <row r="351">
      <c r="G351" s="8"/>
      <c r="H351" s="8"/>
      <c r="I351" s="8"/>
      <c r="J351" s="8"/>
    </row>
    <row r="352">
      <c r="G352" s="8"/>
      <c r="H352" s="8"/>
      <c r="I352" s="8"/>
      <c r="J352" s="8"/>
    </row>
    <row r="353">
      <c r="G353" s="8"/>
      <c r="H353" s="8"/>
      <c r="I353" s="8"/>
      <c r="J353" s="8"/>
    </row>
    <row r="354">
      <c r="G354" s="8"/>
      <c r="H354" s="8"/>
      <c r="I354" s="8"/>
      <c r="J354" s="8"/>
    </row>
    <row r="355">
      <c r="G355" s="8"/>
      <c r="H355" s="8"/>
      <c r="I355" s="8"/>
      <c r="J355" s="8"/>
    </row>
    <row r="356">
      <c r="G356" s="8"/>
      <c r="H356" s="8"/>
      <c r="I356" s="8"/>
      <c r="J356" s="8"/>
    </row>
    <row r="357">
      <c r="G357" s="8"/>
      <c r="H357" s="8"/>
      <c r="I357" s="8"/>
      <c r="J357" s="8"/>
    </row>
    <row r="358">
      <c r="G358" s="8"/>
      <c r="H358" s="8"/>
      <c r="I358" s="8"/>
      <c r="J358" s="8"/>
    </row>
    <row r="359">
      <c r="G359" s="8"/>
      <c r="H359" s="8"/>
      <c r="I359" s="8"/>
      <c r="J359" s="8"/>
    </row>
    <row r="360">
      <c r="G360" s="8"/>
      <c r="H360" s="8"/>
      <c r="I360" s="8"/>
      <c r="J360" s="8"/>
    </row>
    <row r="361">
      <c r="G361" s="8"/>
      <c r="H361" s="8"/>
      <c r="I361" s="8"/>
      <c r="J361" s="8"/>
    </row>
    <row r="362">
      <c r="G362" s="8"/>
      <c r="H362" s="8"/>
      <c r="I362" s="8"/>
      <c r="J362" s="8"/>
    </row>
    <row r="363">
      <c r="G363" s="8"/>
      <c r="H363" s="8"/>
      <c r="I363" s="8"/>
      <c r="J363" s="8"/>
    </row>
    <row r="364">
      <c r="G364" s="8"/>
      <c r="H364" s="8"/>
      <c r="I364" s="8"/>
      <c r="J364" s="8"/>
    </row>
    <row r="365">
      <c r="G365" s="8"/>
      <c r="H365" s="8"/>
      <c r="I365" s="8"/>
      <c r="J365" s="8"/>
    </row>
    <row r="366">
      <c r="G366" s="8"/>
      <c r="H366" s="8"/>
      <c r="I366" s="8"/>
      <c r="J366" s="8"/>
    </row>
    <row r="367">
      <c r="G367" s="8"/>
      <c r="H367" s="8"/>
      <c r="I367" s="8"/>
      <c r="J367" s="8"/>
    </row>
    <row r="368">
      <c r="G368" s="8"/>
      <c r="H368" s="8"/>
      <c r="I368" s="8"/>
      <c r="J368" s="8"/>
    </row>
    <row r="369">
      <c r="G369" s="8"/>
      <c r="H369" s="8"/>
      <c r="I369" s="8"/>
      <c r="J369" s="8"/>
    </row>
    <row r="370">
      <c r="G370" s="8"/>
      <c r="H370" s="8"/>
      <c r="I370" s="8"/>
      <c r="J370" s="8"/>
    </row>
    <row r="371">
      <c r="G371" s="8"/>
      <c r="H371" s="8"/>
      <c r="I371" s="8"/>
      <c r="J371" s="8"/>
    </row>
    <row r="372">
      <c r="G372" s="8"/>
      <c r="H372" s="8"/>
      <c r="I372" s="8"/>
      <c r="J372" s="8"/>
    </row>
    <row r="373">
      <c r="G373" s="8"/>
      <c r="H373" s="8"/>
      <c r="I373" s="8"/>
      <c r="J373" s="8"/>
    </row>
    <row r="374">
      <c r="G374" s="8"/>
      <c r="H374" s="8"/>
      <c r="I374" s="8"/>
      <c r="J374" s="8"/>
    </row>
    <row r="375">
      <c r="G375" s="8"/>
      <c r="H375" s="8"/>
      <c r="I375" s="8"/>
      <c r="J375" s="8"/>
    </row>
    <row r="376">
      <c r="G376" s="8"/>
      <c r="H376" s="8"/>
      <c r="I376" s="8"/>
      <c r="J376" s="8"/>
    </row>
    <row r="377">
      <c r="G377" s="8"/>
      <c r="H377" s="8"/>
      <c r="I377" s="8"/>
      <c r="J377" s="8"/>
    </row>
    <row r="378">
      <c r="G378" s="8"/>
      <c r="H378" s="8"/>
      <c r="I378" s="8"/>
      <c r="J378" s="8"/>
    </row>
    <row r="379">
      <c r="G379" s="8"/>
      <c r="H379" s="8"/>
      <c r="I379" s="8"/>
      <c r="J379" s="8"/>
    </row>
    <row r="380">
      <c r="G380" s="8"/>
      <c r="H380" s="8"/>
      <c r="I380" s="8"/>
      <c r="J380" s="8"/>
    </row>
    <row r="381">
      <c r="G381" s="8"/>
      <c r="H381" s="8"/>
      <c r="I381" s="8"/>
      <c r="J381" s="8"/>
    </row>
    <row r="382">
      <c r="G382" s="8"/>
      <c r="H382" s="8"/>
      <c r="I382" s="8"/>
      <c r="J382" s="8"/>
    </row>
    <row r="383">
      <c r="G383" s="8"/>
      <c r="H383" s="8"/>
      <c r="I383" s="8"/>
      <c r="J383" s="8"/>
    </row>
    <row r="384">
      <c r="G384" s="8"/>
      <c r="H384" s="8"/>
      <c r="I384" s="8"/>
      <c r="J384" s="8"/>
    </row>
    <row r="385">
      <c r="G385" s="8"/>
      <c r="H385" s="8"/>
      <c r="I385" s="8"/>
      <c r="J385" s="8"/>
    </row>
    <row r="386">
      <c r="G386" s="8"/>
      <c r="H386" s="8"/>
      <c r="I386" s="8"/>
      <c r="J386" s="8"/>
    </row>
    <row r="387">
      <c r="G387" s="8"/>
      <c r="H387" s="8"/>
      <c r="I387" s="8"/>
      <c r="J387" s="8"/>
    </row>
    <row r="388">
      <c r="G388" s="8"/>
      <c r="H388" s="8"/>
      <c r="I388" s="8"/>
      <c r="J388" s="8"/>
    </row>
    <row r="389">
      <c r="G389" s="8"/>
      <c r="H389" s="8"/>
      <c r="I389" s="8"/>
      <c r="J389" s="8"/>
    </row>
    <row r="390">
      <c r="G390" s="8"/>
      <c r="H390" s="8"/>
      <c r="I390" s="8"/>
      <c r="J390" s="8"/>
    </row>
    <row r="391">
      <c r="G391" s="8"/>
      <c r="H391" s="8"/>
      <c r="I391" s="8"/>
      <c r="J391" s="8"/>
    </row>
    <row r="392">
      <c r="G392" s="8"/>
      <c r="H392" s="8"/>
      <c r="I392" s="8"/>
      <c r="J392" s="8"/>
    </row>
    <row r="393">
      <c r="G393" s="8"/>
      <c r="H393" s="8"/>
      <c r="I393" s="8"/>
      <c r="J393" s="8"/>
    </row>
    <row r="394">
      <c r="G394" s="8"/>
      <c r="H394" s="8"/>
      <c r="I394" s="8"/>
      <c r="J394" s="8"/>
    </row>
    <row r="395">
      <c r="G395" s="8"/>
      <c r="H395" s="8"/>
      <c r="I395" s="8"/>
      <c r="J395" s="8"/>
    </row>
    <row r="396">
      <c r="G396" s="8"/>
      <c r="H396" s="8"/>
      <c r="I396" s="8"/>
      <c r="J396" s="8"/>
    </row>
    <row r="397">
      <c r="G397" s="8"/>
      <c r="H397" s="8"/>
      <c r="I397" s="8"/>
      <c r="J397" s="8"/>
    </row>
    <row r="398">
      <c r="G398" s="8"/>
      <c r="H398" s="8"/>
      <c r="I398" s="8"/>
      <c r="J398" s="8"/>
    </row>
    <row r="399">
      <c r="G399" s="8"/>
      <c r="H399" s="8"/>
      <c r="I399" s="8"/>
      <c r="J399" s="8"/>
    </row>
    <row r="400">
      <c r="G400" s="8"/>
      <c r="H400" s="8"/>
      <c r="I400" s="8"/>
      <c r="J400" s="8"/>
    </row>
    <row r="401">
      <c r="G401" s="8"/>
      <c r="H401" s="8"/>
      <c r="I401" s="8"/>
      <c r="J401" s="8"/>
    </row>
    <row r="402">
      <c r="G402" s="8"/>
      <c r="H402" s="8"/>
      <c r="I402" s="8"/>
      <c r="J402" s="8"/>
    </row>
    <row r="403">
      <c r="G403" s="8"/>
      <c r="H403" s="8"/>
      <c r="I403" s="8"/>
      <c r="J403" s="8"/>
    </row>
    <row r="404">
      <c r="G404" s="8"/>
      <c r="H404" s="8"/>
      <c r="I404" s="8"/>
      <c r="J404" s="8"/>
    </row>
    <row r="405">
      <c r="G405" s="8"/>
      <c r="H405" s="8"/>
      <c r="I405" s="8"/>
      <c r="J405" s="8"/>
    </row>
    <row r="406">
      <c r="G406" s="8"/>
      <c r="H406" s="8"/>
      <c r="I406" s="8"/>
      <c r="J406" s="8"/>
    </row>
    <row r="407">
      <c r="G407" s="8"/>
      <c r="H407" s="8"/>
      <c r="I407" s="8"/>
      <c r="J407" s="8"/>
    </row>
    <row r="408">
      <c r="G408" s="8"/>
      <c r="H408" s="8"/>
      <c r="I408" s="8"/>
      <c r="J408" s="8"/>
    </row>
    <row r="409">
      <c r="G409" s="8"/>
      <c r="H409" s="8"/>
      <c r="I409" s="8"/>
      <c r="J409" s="8"/>
    </row>
    <row r="410">
      <c r="G410" s="8"/>
      <c r="H410" s="8"/>
      <c r="I410" s="8"/>
      <c r="J410" s="8"/>
    </row>
    <row r="411">
      <c r="G411" s="8"/>
      <c r="H411" s="8"/>
      <c r="I411" s="8"/>
      <c r="J411" s="8"/>
    </row>
    <row r="412">
      <c r="G412" s="8"/>
      <c r="H412" s="8"/>
      <c r="I412" s="8"/>
      <c r="J412" s="8"/>
    </row>
    <row r="413">
      <c r="G413" s="8"/>
      <c r="H413" s="8"/>
      <c r="I413" s="8"/>
      <c r="J413" s="8"/>
    </row>
    <row r="414">
      <c r="G414" s="8"/>
      <c r="H414" s="8"/>
      <c r="I414" s="8"/>
      <c r="J414" s="8"/>
    </row>
    <row r="415">
      <c r="G415" s="8"/>
      <c r="H415" s="8"/>
      <c r="I415" s="8"/>
      <c r="J415" s="8"/>
    </row>
    <row r="416">
      <c r="G416" s="8"/>
      <c r="H416" s="8"/>
      <c r="I416" s="8"/>
      <c r="J416" s="8"/>
    </row>
    <row r="417">
      <c r="G417" s="8"/>
      <c r="H417" s="8"/>
      <c r="I417" s="8"/>
      <c r="J417" s="8"/>
    </row>
    <row r="418">
      <c r="G418" s="8"/>
      <c r="H418" s="8"/>
      <c r="I418" s="8"/>
      <c r="J418" s="8"/>
    </row>
    <row r="419">
      <c r="G419" s="8"/>
      <c r="H419" s="8"/>
      <c r="I419" s="8"/>
      <c r="J419" s="8"/>
    </row>
    <row r="420">
      <c r="G420" s="8"/>
      <c r="H420" s="8"/>
      <c r="I420" s="8"/>
      <c r="J420" s="8"/>
    </row>
    <row r="421">
      <c r="G421" s="8"/>
      <c r="H421" s="8"/>
      <c r="I421" s="8"/>
      <c r="J421" s="8"/>
    </row>
    <row r="422">
      <c r="G422" s="8"/>
      <c r="H422" s="8"/>
      <c r="I422" s="8"/>
      <c r="J422" s="8"/>
    </row>
    <row r="423">
      <c r="G423" s="8"/>
      <c r="H423" s="8"/>
      <c r="I423" s="8"/>
      <c r="J423" s="8"/>
    </row>
    <row r="424">
      <c r="G424" s="8"/>
      <c r="H424" s="8"/>
      <c r="I424" s="8"/>
      <c r="J424" s="8"/>
    </row>
    <row r="425">
      <c r="G425" s="8"/>
      <c r="H425" s="8"/>
      <c r="I425" s="8"/>
      <c r="J425" s="8"/>
    </row>
    <row r="426">
      <c r="G426" s="8"/>
      <c r="H426" s="8"/>
      <c r="I426" s="8"/>
      <c r="J426" s="8"/>
    </row>
    <row r="427">
      <c r="G427" s="8"/>
      <c r="H427" s="8"/>
      <c r="I427" s="8"/>
      <c r="J427" s="8"/>
    </row>
    <row r="428">
      <c r="G428" s="8"/>
      <c r="H428" s="8"/>
      <c r="I428" s="8"/>
      <c r="J428" s="8"/>
    </row>
    <row r="429">
      <c r="G429" s="8"/>
      <c r="H429" s="8"/>
      <c r="I429" s="8"/>
      <c r="J429" s="8"/>
    </row>
    <row r="430">
      <c r="G430" s="8"/>
      <c r="H430" s="8"/>
      <c r="I430" s="8"/>
      <c r="J430" s="8"/>
    </row>
    <row r="431">
      <c r="G431" s="8"/>
      <c r="H431" s="8"/>
      <c r="I431" s="8"/>
      <c r="J431" s="8"/>
    </row>
    <row r="432">
      <c r="G432" s="8"/>
      <c r="H432" s="8"/>
      <c r="I432" s="8"/>
      <c r="J432" s="8"/>
    </row>
    <row r="433">
      <c r="G433" s="8"/>
      <c r="H433" s="8"/>
      <c r="I433" s="8"/>
      <c r="J433" s="8"/>
    </row>
    <row r="434">
      <c r="G434" s="8"/>
      <c r="H434" s="8"/>
      <c r="I434" s="8"/>
      <c r="J434" s="8"/>
    </row>
    <row r="435">
      <c r="G435" s="8"/>
      <c r="H435" s="8"/>
      <c r="I435" s="8"/>
      <c r="J435" s="8"/>
    </row>
    <row r="436">
      <c r="G436" s="8"/>
      <c r="H436" s="8"/>
      <c r="I436" s="8"/>
      <c r="J436" s="8"/>
    </row>
    <row r="437">
      <c r="G437" s="8"/>
      <c r="H437" s="8"/>
      <c r="I437" s="8"/>
      <c r="J437" s="8"/>
    </row>
    <row r="438">
      <c r="G438" s="8"/>
      <c r="H438" s="8"/>
      <c r="I438" s="8"/>
      <c r="J438" s="8"/>
    </row>
    <row r="439">
      <c r="G439" s="8"/>
      <c r="H439" s="8"/>
      <c r="I439" s="8"/>
      <c r="J439" s="8"/>
    </row>
    <row r="440">
      <c r="G440" s="8"/>
      <c r="H440" s="8"/>
      <c r="I440" s="8"/>
      <c r="J440" s="8"/>
    </row>
    <row r="441">
      <c r="G441" s="8"/>
      <c r="H441" s="8"/>
      <c r="I441" s="8"/>
      <c r="J441" s="8"/>
    </row>
    <row r="442">
      <c r="G442" s="8"/>
      <c r="H442" s="8"/>
      <c r="I442" s="8"/>
      <c r="J442" s="8"/>
    </row>
    <row r="443">
      <c r="G443" s="8"/>
      <c r="H443" s="8"/>
      <c r="I443" s="8"/>
      <c r="J443" s="8"/>
    </row>
    <row r="444">
      <c r="G444" s="8"/>
      <c r="H444" s="8"/>
      <c r="I444" s="8"/>
      <c r="J444" s="8"/>
    </row>
    <row r="445">
      <c r="G445" s="8"/>
      <c r="H445" s="8"/>
      <c r="I445" s="8"/>
      <c r="J445" s="8"/>
    </row>
    <row r="446">
      <c r="G446" s="8"/>
      <c r="H446" s="8"/>
      <c r="I446" s="8"/>
      <c r="J446" s="8"/>
    </row>
    <row r="447">
      <c r="G447" s="8"/>
      <c r="H447" s="8"/>
      <c r="I447" s="8"/>
      <c r="J447" s="8"/>
    </row>
    <row r="448">
      <c r="G448" s="8"/>
      <c r="H448" s="8"/>
      <c r="I448" s="8"/>
      <c r="J448" s="8"/>
    </row>
    <row r="449">
      <c r="G449" s="8"/>
      <c r="H449" s="8"/>
      <c r="I449" s="8"/>
      <c r="J449" s="8"/>
    </row>
    <row r="450">
      <c r="G450" s="8"/>
      <c r="H450" s="8"/>
      <c r="I450" s="8"/>
      <c r="J450" s="8"/>
    </row>
    <row r="451">
      <c r="G451" s="8"/>
      <c r="H451" s="8"/>
      <c r="I451" s="8"/>
      <c r="J451" s="8"/>
    </row>
    <row r="452">
      <c r="G452" s="8"/>
      <c r="H452" s="8"/>
      <c r="I452" s="8"/>
      <c r="J452" s="8"/>
    </row>
    <row r="453">
      <c r="G453" s="8"/>
      <c r="H453" s="8"/>
      <c r="I453" s="8"/>
      <c r="J453" s="8"/>
    </row>
    <row r="454">
      <c r="G454" s="8"/>
      <c r="H454" s="8"/>
      <c r="I454" s="8"/>
      <c r="J454" s="8"/>
    </row>
    <row r="455">
      <c r="G455" s="8"/>
      <c r="H455" s="8"/>
      <c r="I455" s="8"/>
      <c r="J455" s="8"/>
    </row>
    <row r="456">
      <c r="G456" s="8"/>
      <c r="H456" s="8"/>
      <c r="I456" s="8"/>
      <c r="J456" s="8"/>
    </row>
    <row r="457">
      <c r="G457" s="8"/>
      <c r="H457" s="8"/>
      <c r="I457" s="8"/>
      <c r="J457" s="8"/>
    </row>
    <row r="458">
      <c r="G458" s="8"/>
      <c r="H458" s="8"/>
      <c r="I458" s="8"/>
      <c r="J458" s="8"/>
    </row>
    <row r="459">
      <c r="G459" s="8"/>
      <c r="H459" s="8"/>
      <c r="I459" s="8"/>
      <c r="J459" s="8"/>
    </row>
    <row r="460">
      <c r="G460" s="8"/>
      <c r="H460" s="8"/>
      <c r="I460" s="8"/>
      <c r="J460" s="8"/>
    </row>
    <row r="461">
      <c r="G461" s="8"/>
      <c r="H461" s="8"/>
      <c r="I461" s="8"/>
      <c r="J461" s="8"/>
    </row>
    <row r="462">
      <c r="G462" s="8"/>
      <c r="H462" s="8"/>
      <c r="I462" s="8"/>
      <c r="J462" s="8"/>
    </row>
    <row r="463">
      <c r="G463" s="8"/>
      <c r="H463" s="8"/>
      <c r="I463" s="8"/>
      <c r="J463" s="8"/>
    </row>
    <row r="464">
      <c r="G464" s="8"/>
      <c r="H464" s="8"/>
      <c r="I464" s="8"/>
      <c r="J464" s="8"/>
    </row>
    <row r="465">
      <c r="G465" s="8"/>
      <c r="H465" s="8"/>
      <c r="I465" s="8"/>
      <c r="J465" s="8"/>
    </row>
    <row r="466">
      <c r="G466" s="8"/>
      <c r="H466" s="8"/>
      <c r="I466" s="8"/>
      <c r="J466" s="8"/>
    </row>
    <row r="467">
      <c r="G467" s="8"/>
      <c r="H467" s="8"/>
      <c r="I467" s="8"/>
      <c r="J467" s="8"/>
    </row>
    <row r="468">
      <c r="G468" s="8"/>
      <c r="H468" s="8"/>
      <c r="I468" s="8"/>
      <c r="J468" s="8"/>
    </row>
    <row r="469">
      <c r="G469" s="8"/>
      <c r="H469" s="8"/>
      <c r="I469" s="8"/>
      <c r="J469" s="8"/>
    </row>
    <row r="470">
      <c r="G470" s="8"/>
      <c r="H470" s="8"/>
      <c r="I470" s="8"/>
      <c r="J470" s="8"/>
    </row>
    <row r="471">
      <c r="G471" s="8"/>
      <c r="H471" s="8"/>
      <c r="I471" s="8"/>
      <c r="J471" s="8"/>
    </row>
    <row r="472">
      <c r="G472" s="8"/>
      <c r="H472" s="8"/>
      <c r="I472" s="8"/>
      <c r="J472" s="8"/>
    </row>
    <row r="473">
      <c r="G473" s="8"/>
      <c r="H473" s="8"/>
      <c r="I473" s="8"/>
      <c r="J473" s="8"/>
    </row>
    <row r="474">
      <c r="G474" s="8"/>
      <c r="H474" s="8"/>
      <c r="I474" s="8"/>
      <c r="J474" s="8"/>
    </row>
    <row r="475">
      <c r="G475" s="8"/>
      <c r="H475" s="8"/>
      <c r="I475" s="8"/>
      <c r="J475" s="8"/>
    </row>
    <row r="476">
      <c r="G476" s="8"/>
      <c r="H476" s="8"/>
      <c r="I476" s="8"/>
      <c r="J476" s="8"/>
    </row>
    <row r="477">
      <c r="G477" s="8"/>
      <c r="H477" s="8"/>
      <c r="I477" s="8"/>
      <c r="J477" s="8"/>
    </row>
    <row r="478">
      <c r="G478" s="8"/>
      <c r="H478" s="8"/>
      <c r="I478" s="8"/>
      <c r="J478" s="8"/>
    </row>
    <row r="479">
      <c r="G479" s="8"/>
      <c r="H479" s="8"/>
      <c r="I479" s="8"/>
      <c r="J479" s="8"/>
    </row>
    <row r="480">
      <c r="G480" s="8"/>
      <c r="H480" s="8"/>
      <c r="I480" s="8"/>
      <c r="J480" s="8"/>
    </row>
    <row r="481">
      <c r="G481" s="8"/>
      <c r="H481" s="8"/>
      <c r="I481" s="8"/>
      <c r="J481" s="8"/>
    </row>
    <row r="482">
      <c r="G482" s="8"/>
      <c r="H482" s="8"/>
      <c r="I482" s="8"/>
      <c r="J482" s="8"/>
    </row>
    <row r="483">
      <c r="G483" s="8"/>
      <c r="H483" s="8"/>
      <c r="I483" s="8"/>
      <c r="J483" s="8"/>
    </row>
    <row r="484">
      <c r="G484" s="8"/>
      <c r="H484" s="8"/>
      <c r="I484" s="8"/>
      <c r="J484" s="8"/>
    </row>
    <row r="485">
      <c r="G485" s="8"/>
      <c r="H485" s="8"/>
      <c r="I485" s="8"/>
      <c r="J485" s="8"/>
    </row>
    <row r="486">
      <c r="G486" s="8"/>
      <c r="H486" s="8"/>
      <c r="I486" s="8"/>
      <c r="J486" s="8"/>
    </row>
    <row r="487">
      <c r="G487" s="8"/>
      <c r="H487" s="8"/>
      <c r="I487" s="8"/>
      <c r="J487" s="8"/>
    </row>
    <row r="488">
      <c r="G488" s="8"/>
      <c r="H488" s="8"/>
      <c r="I488" s="8"/>
      <c r="J488" s="8"/>
    </row>
    <row r="489">
      <c r="G489" s="8"/>
      <c r="H489" s="8"/>
      <c r="I489" s="8"/>
      <c r="J489" s="8"/>
    </row>
    <row r="490">
      <c r="G490" s="8"/>
      <c r="H490" s="8"/>
      <c r="I490" s="8"/>
      <c r="J490" s="8"/>
    </row>
    <row r="491">
      <c r="G491" s="8"/>
      <c r="H491" s="8"/>
      <c r="I491" s="8"/>
      <c r="J491" s="8"/>
    </row>
    <row r="492">
      <c r="G492" s="8"/>
      <c r="H492" s="8"/>
      <c r="I492" s="8"/>
      <c r="J492" s="8"/>
    </row>
    <row r="493">
      <c r="G493" s="8"/>
      <c r="H493" s="8"/>
      <c r="I493" s="8"/>
      <c r="J493" s="8"/>
    </row>
    <row r="494">
      <c r="G494" s="8"/>
      <c r="H494" s="8"/>
      <c r="I494" s="8"/>
      <c r="J494" s="8"/>
    </row>
    <row r="495">
      <c r="G495" s="8"/>
      <c r="H495" s="8"/>
      <c r="I495" s="8"/>
      <c r="J495" s="8"/>
    </row>
    <row r="496">
      <c r="G496" s="8"/>
      <c r="H496" s="8"/>
      <c r="I496" s="8"/>
      <c r="J496" s="8"/>
    </row>
    <row r="497">
      <c r="G497" s="8"/>
      <c r="H497" s="8"/>
      <c r="I497" s="8"/>
      <c r="J497" s="8"/>
    </row>
    <row r="498">
      <c r="G498" s="8"/>
      <c r="H498" s="8"/>
      <c r="I498" s="8"/>
      <c r="J498" s="8"/>
    </row>
    <row r="499">
      <c r="G499" s="8"/>
      <c r="H499" s="8"/>
      <c r="I499" s="8"/>
      <c r="J499" s="8"/>
    </row>
    <row r="500">
      <c r="G500" s="8"/>
      <c r="H500" s="8"/>
      <c r="I500" s="8"/>
      <c r="J500" s="8"/>
    </row>
    <row r="501">
      <c r="G501" s="8"/>
      <c r="H501" s="8"/>
      <c r="I501" s="8"/>
      <c r="J501" s="8"/>
    </row>
    <row r="502">
      <c r="G502" s="8"/>
      <c r="H502" s="8"/>
      <c r="I502" s="8"/>
      <c r="J502" s="8"/>
    </row>
    <row r="503">
      <c r="G503" s="8"/>
      <c r="H503" s="8"/>
      <c r="I503" s="8"/>
      <c r="J503" s="8"/>
    </row>
    <row r="504">
      <c r="G504" s="8"/>
      <c r="H504" s="8"/>
      <c r="I504" s="8"/>
      <c r="J504" s="8"/>
    </row>
    <row r="505">
      <c r="G505" s="8"/>
      <c r="H505" s="8"/>
      <c r="I505" s="8"/>
      <c r="J505" s="8"/>
    </row>
    <row r="506">
      <c r="G506" s="8"/>
      <c r="H506" s="8"/>
      <c r="I506" s="8"/>
      <c r="J506" s="8"/>
    </row>
    <row r="507">
      <c r="G507" s="8"/>
      <c r="H507" s="8"/>
      <c r="I507" s="8"/>
      <c r="J507" s="8"/>
    </row>
    <row r="508">
      <c r="G508" s="8"/>
      <c r="H508" s="8"/>
      <c r="I508" s="8"/>
      <c r="J508" s="8"/>
    </row>
    <row r="509">
      <c r="G509" s="8"/>
      <c r="H509" s="8"/>
      <c r="I509" s="8"/>
      <c r="J509" s="8"/>
    </row>
    <row r="510">
      <c r="G510" s="8"/>
      <c r="H510" s="8"/>
      <c r="I510" s="8"/>
      <c r="J510" s="8"/>
    </row>
    <row r="511">
      <c r="G511" s="8"/>
      <c r="H511" s="8"/>
      <c r="I511" s="8"/>
      <c r="J511" s="8"/>
    </row>
    <row r="512">
      <c r="G512" s="8"/>
      <c r="H512" s="8"/>
      <c r="I512" s="8"/>
      <c r="J512" s="8"/>
    </row>
    <row r="513">
      <c r="G513" s="8"/>
      <c r="H513" s="8"/>
      <c r="I513" s="8"/>
      <c r="J513" s="8"/>
    </row>
    <row r="514">
      <c r="G514" s="8"/>
      <c r="H514" s="8"/>
      <c r="I514" s="8"/>
      <c r="J514" s="8"/>
    </row>
    <row r="515">
      <c r="G515" s="8"/>
      <c r="H515" s="8"/>
      <c r="I515" s="8"/>
      <c r="J515" s="8"/>
    </row>
    <row r="516">
      <c r="G516" s="8"/>
      <c r="H516" s="8"/>
      <c r="I516" s="8"/>
      <c r="J516" s="8"/>
    </row>
    <row r="517">
      <c r="G517" s="8"/>
      <c r="H517" s="8"/>
      <c r="I517" s="8"/>
      <c r="J517" s="8"/>
    </row>
    <row r="518">
      <c r="G518" s="8"/>
      <c r="H518" s="8"/>
      <c r="I518" s="8"/>
      <c r="J518" s="8"/>
    </row>
    <row r="519">
      <c r="G519" s="8"/>
      <c r="H519" s="8"/>
      <c r="I519" s="8"/>
      <c r="J519" s="8"/>
    </row>
    <row r="520">
      <c r="G520" s="8"/>
      <c r="H520" s="8"/>
      <c r="I520" s="8"/>
      <c r="J520" s="8"/>
    </row>
    <row r="521">
      <c r="G521" s="8"/>
      <c r="H521" s="8"/>
      <c r="I521" s="8"/>
      <c r="J521" s="8"/>
    </row>
    <row r="522">
      <c r="G522" s="8"/>
      <c r="H522" s="8"/>
      <c r="I522" s="8"/>
      <c r="J522" s="8"/>
    </row>
    <row r="523">
      <c r="G523" s="8"/>
      <c r="H523" s="8"/>
      <c r="I523" s="8"/>
      <c r="J523" s="8"/>
    </row>
    <row r="524">
      <c r="G524" s="8"/>
      <c r="H524" s="8"/>
      <c r="I524" s="8"/>
      <c r="J524" s="8"/>
    </row>
    <row r="525">
      <c r="G525" s="8"/>
      <c r="H525" s="8"/>
      <c r="I525" s="8"/>
      <c r="J525" s="8"/>
    </row>
    <row r="526">
      <c r="G526" s="8"/>
      <c r="H526" s="8"/>
      <c r="I526" s="8"/>
      <c r="J526" s="8"/>
    </row>
    <row r="527">
      <c r="G527" s="8"/>
      <c r="H527" s="8"/>
      <c r="I527" s="8"/>
      <c r="J527" s="8"/>
    </row>
    <row r="528">
      <c r="G528" s="8"/>
      <c r="H528" s="8"/>
      <c r="I528" s="8"/>
      <c r="J528" s="8"/>
    </row>
    <row r="529">
      <c r="G529" s="8"/>
      <c r="H529" s="8"/>
      <c r="I529" s="8"/>
      <c r="J529" s="8"/>
    </row>
    <row r="530">
      <c r="G530" s="8"/>
      <c r="H530" s="8"/>
      <c r="I530" s="8"/>
      <c r="J530" s="8"/>
    </row>
    <row r="531">
      <c r="G531" s="8"/>
      <c r="H531" s="8"/>
      <c r="I531" s="8"/>
      <c r="J531" s="8"/>
    </row>
    <row r="532">
      <c r="G532" s="8"/>
      <c r="H532" s="8"/>
      <c r="I532" s="8"/>
      <c r="J532" s="8"/>
    </row>
    <row r="533">
      <c r="G533" s="8"/>
      <c r="H533" s="8"/>
      <c r="I533" s="8"/>
      <c r="J533" s="8"/>
    </row>
    <row r="534">
      <c r="G534" s="8"/>
      <c r="H534" s="8"/>
      <c r="I534" s="8"/>
      <c r="J534" s="8"/>
    </row>
    <row r="535">
      <c r="G535" s="8"/>
      <c r="H535" s="8"/>
      <c r="I535" s="8"/>
      <c r="J535" s="8"/>
    </row>
    <row r="536">
      <c r="G536" s="8"/>
      <c r="H536" s="8"/>
      <c r="I536" s="8"/>
      <c r="J536" s="8"/>
    </row>
    <row r="537">
      <c r="G537" s="8"/>
      <c r="H537" s="8"/>
      <c r="I537" s="8"/>
      <c r="J537" s="8"/>
    </row>
    <row r="538">
      <c r="G538" s="8"/>
      <c r="H538" s="8"/>
      <c r="I538" s="8"/>
      <c r="J538" s="8"/>
    </row>
    <row r="539">
      <c r="G539" s="8"/>
      <c r="H539" s="8"/>
      <c r="I539" s="8"/>
      <c r="J539" s="8"/>
    </row>
    <row r="540">
      <c r="G540" s="8"/>
      <c r="H540" s="8"/>
      <c r="I540" s="8"/>
      <c r="J540" s="8"/>
    </row>
    <row r="541">
      <c r="G541" s="8"/>
      <c r="H541" s="8"/>
      <c r="I541" s="8"/>
      <c r="J541" s="8"/>
    </row>
    <row r="542">
      <c r="G542" s="8"/>
      <c r="H542" s="8"/>
      <c r="I542" s="8"/>
      <c r="J542" s="8"/>
    </row>
    <row r="543">
      <c r="G543" s="8"/>
      <c r="H543" s="8"/>
      <c r="I543" s="8"/>
      <c r="J543" s="8"/>
    </row>
    <row r="544">
      <c r="G544" s="8"/>
      <c r="H544" s="8"/>
      <c r="I544" s="8"/>
      <c r="J544" s="8"/>
    </row>
    <row r="545">
      <c r="G545" s="8"/>
      <c r="H545" s="8"/>
      <c r="I545" s="8"/>
      <c r="J545" s="8"/>
    </row>
    <row r="546">
      <c r="G546" s="8"/>
      <c r="H546" s="8"/>
      <c r="I546" s="8"/>
      <c r="J546" s="8"/>
    </row>
    <row r="547">
      <c r="G547" s="8"/>
      <c r="H547" s="8"/>
      <c r="I547" s="8"/>
      <c r="J547" s="8"/>
    </row>
    <row r="548">
      <c r="G548" s="8"/>
      <c r="H548" s="8"/>
      <c r="I548" s="8"/>
      <c r="J548" s="8"/>
    </row>
    <row r="549">
      <c r="G549" s="8"/>
      <c r="H549" s="8"/>
      <c r="I549" s="8"/>
      <c r="J549" s="8"/>
    </row>
    <row r="550">
      <c r="G550" s="8"/>
      <c r="H550" s="8"/>
      <c r="I550" s="8"/>
      <c r="J550" s="8"/>
    </row>
    <row r="551">
      <c r="G551" s="8"/>
      <c r="H551" s="8"/>
      <c r="I551" s="8"/>
      <c r="J551" s="8"/>
    </row>
    <row r="552">
      <c r="G552" s="8"/>
      <c r="H552" s="8"/>
      <c r="I552" s="8"/>
      <c r="J552" s="8"/>
    </row>
    <row r="553">
      <c r="G553" s="8"/>
      <c r="H553" s="8"/>
      <c r="I553" s="8"/>
      <c r="J553" s="8"/>
    </row>
    <row r="554">
      <c r="G554" s="8"/>
      <c r="H554" s="8"/>
      <c r="I554" s="8"/>
      <c r="J554" s="8"/>
    </row>
    <row r="555">
      <c r="G555" s="8"/>
      <c r="H555" s="8"/>
      <c r="I555" s="8"/>
      <c r="J555" s="8"/>
    </row>
    <row r="556">
      <c r="G556" s="8"/>
      <c r="H556" s="8"/>
      <c r="I556" s="8"/>
      <c r="J556" s="8"/>
    </row>
    <row r="557">
      <c r="G557" s="8"/>
      <c r="H557" s="8"/>
      <c r="I557" s="8"/>
      <c r="J557" s="8"/>
    </row>
    <row r="558">
      <c r="G558" s="8"/>
      <c r="H558" s="8"/>
      <c r="I558" s="8"/>
      <c r="J558" s="8"/>
    </row>
    <row r="559">
      <c r="G559" s="8"/>
      <c r="H559" s="8"/>
      <c r="I559" s="8"/>
      <c r="J559" s="8"/>
    </row>
    <row r="560">
      <c r="G560" s="8"/>
      <c r="H560" s="8"/>
      <c r="I560" s="8"/>
      <c r="J560" s="8"/>
    </row>
    <row r="561">
      <c r="G561" s="8"/>
      <c r="H561" s="8"/>
      <c r="I561" s="8"/>
      <c r="J561" s="8"/>
    </row>
    <row r="562">
      <c r="G562" s="8"/>
      <c r="H562" s="8"/>
      <c r="I562" s="8"/>
      <c r="J562" s="8"/>
    </row>
    <row r="563">
      <c r="G563" s="8"/>
      <c r="H563" s="8"/>
      <c r="I563" s="8"/>
      <c r="J563" s="8"/>
    </row>
    <row r="564">
      <c r="G564" s="8"/>
      <c r="H564" s="8"/>
      <c r="I564" s="8"/>
      <c r="J564" s="8"/>
    </row>
    <row r="565">
      <c r="G565" s="8"/>
      <c r="H565" s="8"/>
      <c r="I565" s="8"/>
      <c r="J565" s="8"/>
    </row>
    <row r="566">
      <c r="G566" s="8"/>
      <c r="H566" s="8"/>
      <c r="I566" s="8"/>
      <c r="J566" s="8"/>
    </row>
    <row r="567">
      <c r="G567" s="8"/>
      <c r="H567" s="8"/>
      <c r="I567" s="8"/>
      <c r="J567" s="8"/>
    </row>
    <row r="568">
      <c r="G568" s="8"/>
      <c r="H568" s="8"/>
      <c r="I568" s="8"/>
      <c r="J568" s="8"/>
    </row>
    <row r="569">
      <c r="G569" s="8"/>
      <c r="H569" s="8"/>
      <c r="I569" s="8"/>
      <c r="J569" s="8"/>
    </row>
    <row r="570">
      <c r="G570" s="8"/>
      <c r="H570" s="8"/>
      <c r="I570" s="8"/>
      <c r="J570" s="8"/>
    </row>
    <row r="571">
      <c r="G571" s="8"/>
      <c r="H571" s="8"/>
      <c r="I571" s="8"/>
      <c r="J571" s="8"/>
    </row>
    <row r="572">
      <c r="G572" s="8"/>
      <c r="H572" s="8"/>
      <c r="I572" s="8"/>
      <c r="J572" s="8"/>
    </row>
    <row r="573">
      <c r="G573" s="8"/>
      <c r="H573" s="8"/>
      <c r="I573" s="8"/>
      <c r="J573" s="8"/>
    </row>
    <row r="574">
      <c r="G574" s="8"/>
      <c r="H574" s="8"/>
      <c r="I574" s="8"/>
      <c r="J574" s="8"/>
    </row>
    <row r="575">
      <c r="G575" s="8"/>
      <c r="H575" s="8"/>
      <c r="I575" s="8"/>
      <c r="J575" s="8"/>
    </row>
    <row r="576">
      <c r="G576" s="8"/>
      <c r="H576" s="8"/>
      <c r="I576" s="8"/>
      <c r="J576" s="8"/>
    </row>
    <row r="577">
      <c r="G577" s="8"/>
      <c r="H577" s="8"/>
      <c r="I577" s="8"/>
      <c r="J577" s="8"/>
    </row>
    <row r="578">
      <c r="G578" s="8"/>
      <c r="H578" s="8"/>
      <c r="I578" s="8"/>
      <c r="J578" s="8"/>
    </row>
    <row r="579">
      <c r="G579" s="8"/>
      <c r="H579" s="8"/>
      <c r="I579" s="8"/>
      <c r="J579" s="8"/>
    </row>
    <row r="580">
      <c r="G580" s="8"/>
      <c r="H580" s="8"/>
      <c r="I580" s="8"/>
      <c r="J580" s="8"/>
    </row>
    <row r="581">
      <c r="G581" s="8"/>
      <c r="H581" s="8"/>
      <c r="I581" s="8"/>
      <c r="J581" s="8"/>
    </row>
    <row r="582">
      <c r="G582" s="8"/>
      <c r="H582" s="8"/>
      <c r="I582" s="8"/>
      <c r="J582" s="8"/>
    </row>
    <row r="583">
      <c r="G583" s="8"/>
      <c r="H583" s="8"/>
      <c r="I583" s="8"/>
      <c r="J583" s="8"/>
    </row>
    <row r="584">
      <c r="G584" s="8"/>
      <c r="H584" s="8"/>
      <c r="I584" s="8"/>
      <c r="J584" s="8"/>
    </row>
    <row r="585">
      <c r="G585" s="8"/>
      <c r="H585" s="8"/>
      <c r="I585" s="8"/>
      <c r="J585" s="8"/>
    </row>
    <row r="586">
      <c r="G586" s="8"/>
      <c r="H586" s="8"/>
      <c r="I586" s="8"/>
      <c r="J586" s="8"/>
    </row>
    <row r="587">
      <c r="G587" s="8"/>
      <c r="H587" s="8"/>
      <c r="I587" s="8"/>
      <c r="J587" s="8"/>
    </row>
    <row r="588">
      <c r="G588" s="8"/>
      <c r="H588" s="8"/>
      <c r="I588" s="8"/>
      <c r="J588" s="8"/>
    </row>
    <row r="589">
      <c r="G589" s="8"/>
      <c r="H589" s="8"/>
      <c r="I589" s="8"/>
      <c r="J589" s="8"/>
    </row>
    <row r="590">
      <c r="G590" s="8"/>
      <c r="H590" s="8"/>
      <c r="I590" s="8"/>
      <c r="J590" s="8"/>
    </row>
    <row r="591">
      <c r="G591" s="8"/>
      <c r="H591" s="8"/>
      <c r="I591" s="8"/>
      <c r="J591" s="8"/>
    </row>
    <row r="592">
      <c r="G592" s="8"/>
      <c r="H592" s="8"/>
      <c r="I592" s="8"/>
      <c r="J592" s="8"/>
    </row>
    <row r="593">
      <c r="G593" s="8"/>
      <c r="H593" s="8"/>
      <c r="I593" s="8"/>
      <c r="J593" s="8"/>
    </row>
    <row r="594">
      <c r="G594" s="8"/>
      <c r="H594" s="8"/>
      <c r="I594" s="8"/>
      <c r="J594" s="8"/>
    </row>
    <row r="595">
      <c r="G595" s="8"/>
      <c r="H595" s="8"/>
      <c r="I595" s="8"/>
      <c r="J595" s="8"/>
    </row>
    <row r="596">
      <c r="G596" s="8"/>
      <c r="H596" s="8"/>
      <c r="I596" s="8"/>
      <c r="J596" s="8"/>
    </row>
    <row r="597">
      <c r="G597" s="8"/>
      <c r="H597" s="8"/>
      <c r="I597" s="8"/>
      <c r="J597" s="8"/>
    </row>
    <row r="598">
      <c r="G598" s="8"/>
      <c r="H598" s="8"/>
      <c r="I598" s="8"/>
      <c r="J598" s="8"/>
    </row>
    <row r="599">
      <c r="G599" s="8"/>
      <c r="H599" s="8"/>
      <c r="I599" s="8"/>
      <c r="J599" s="8"/>
    </row>
    <row r="600">
      <c r="G600" s="8"/>
      <c r="H600" s="8"/>
      <c r="I600" s="8"/>
      <c r="J600" s="8"/>
    </row>
    <row r="601">
      <c r="G601" s="8"/>
      <c r="H601" s="8"/>
      <c r="I601" s="8"/>
      <c r="J601" s="8"/>
    </row>
    <row r="602">
      <c r="G602" s="8"/>
      <c r="H602" s="8"/>
      <c r="I602" s="8"/>
      <c r="J602" s="8"/>
    </row>
    <row r="603">
      <c r="G603" s="8"/>
      <c r="H603" s="8"/>
      <c r="I603" s="8"/>
      <c r="J603" s="8"/>
    </row>
    <row r="604">
      <c r="G604" s="8"/>
      <c r="H604" s="8"/>
      <c r="I604" s="8"/>
      <c r="J604" s="8"/>
    </row>
    <row r="605">
      <c r="G605" s="8"/>
      <c r="H605" s="8"/>
      <c r="I605" s="8"/>
      <c r="J605" s="8"/>
    </row>
    <row r="606">
      <c r="G606" s="8"/>
      <c r="H606" s="8"/>
      <c r="I606" s="8"/>
      <c r="J606" s="8"/>
    </row>
    <row r="607">
      <c r="G607" s="8"/>
      <c r="H607" s="8"/>
      <c r="I607" s="8"/>
      <c r="J607" s="8"/>
    </row>
    <row r="608">
      <c r="G608" s="8"/>
      <c r="H608" s="8"/>
      <c r="I608" s="8"/>
      <c r="J608" s="8"/>
    </row>
    <row r="609">
      <c r="G609" s="8"/>
      <c r="H609" s="8"/>
      <c r="I609" s="8"/>
      <c r="J609" s="8"/>
    </row>
    <row r="610">
      <c r="G610" s="8"/>
      <c r="H610" s="8"/>
      <c r="I610" s="8"/>
      <c r="J610" s="8"/>
    </row>
    <row r="611">
      <c r="G611" s="8"/>
      <c r="H611" s="8"/>
      <c r="I611" s="8"/>
      <c r="J611" s="8"/>
    </row>
    <row r="612">
      <c r="G612" s="8"/>
      <c r="H612" s="8"/>
      <c r="I612" s="8"/>
      <c r="J612" s="8"/>
    </row>
    <row r="613">
      <c r="G613" s="8"/>
      <c r="H613" s="8"/>
      <c r="I613" s="8"/>
      <c r="J613" s="8"/>
    </row>
    <row r="614">
      <c r="G614" s="8"/>
      <c r="H614" s="8"/>
      <c r="I614" s="8"/>
      <c r="J614" s="8"/>
    </row>
    <row r="615">
      <c r="G615" s="8"/>
      <c r="H615" s="8"/>
      <c r="I615" s="8"/>
      <c r="J615" s="8"/>
    </row>
    <row r="616">
      <c r="G616" s="8"/>
      <c r="H616" s="8"/>
      <c r="I616" s="8"/>
      <c r="J616" s="8"/>
    </row>
    <row r="617">
      <c r="G617" s="8"/>
      <c r="H617" s="8"/>
      <c r="I617" s="8"/>
      <c r="J617" s="8"/>
    </row>
    <row r="618">
      <c r="G618" s="8"/>
      <c r="H618" s="8"/>
      <c r="I618" s="8"/>
      <c r="J618" s="8"/>
    </row>
    <row r="619">
      <c r="G619" s="8"/>
      <c r="H619" s="8"/>
      <c r="I619" s="8"/>
      <c r="J619" s="8"/>
    </row>
    <row r="620">
      <c r="G620" s="8"/>
      <c r="H620" s="8"/>
      <c r="I620" s="8"/>
      <c r="J620" s="8"/>
    </row>
    <row r="621">
      <c r="G621" s="8"/>
      <c r="H621" s="8"/>
      <c r="I621" s="8"/>
      <c r="J621" s="8"/>
    </row>
    <row r="622">
      <c r="G622" s="8"/>
      <c r="H622" s="8"/>
      <c r="I622" s="8"/>
      <c r="J622" s="8"/>
    </row>
    <row r="623">
      <c r="G623" s="8"/>
      <c r="H623" s="8"/>
      <c r="I623" s="8"/>
      <c r="J623" s="8"/>
    </row>
    <row r="624">
      <c r="G624" s="8"/>
      <c r="H624" s="8"/>
      <c r="I624" s="8"/>
      <c r="J624" s="8"/>
    </row>
    <row r="625">
      <c r="G625" s="8"/>
      <c r="H625" s="8"/>
      <c r="I625" s="8"/>
      <c r="J625" s="8"/>
    </row>
    <row r="626">
      <c r="G626" s="8"/>
      <c r="H626" s="8"/>
      <c r="I626" s="8"/>
      <c r="J626" s="8"/>
    </row>
    <row r="627">
      <c r="G627" s="8"/>
      <c r="H627" s="8"/>
      <c r="I627" s="8"/>
      <c r="J627" s="8"/>
    </row>
    <row r="628">
      <c r="G628" s="8"/>
      <c r="H628" s="8"/>
      <c r="I628" s="8"/>
      <c r="J628" s="8"/>
    </row>
    <row r="629">
      <c r="G629" s="8"/>
      <c r="H629" s="8"/>
      <c r="I629" s="8"/>
      <c r="J629" s="8"/>
    </row>
    <row r="630">
      <c r="G630" s="8"/>
      <c r="H630" s="8"/>
      <c r="I630" s="8"/>
      <c r="J630" s="8"/>
    </row>
    <row r="631">
      <c r="G631" s="8"/>
      <c r="H631" s="8"/>
      <c r="I631" s="8"/>
      <c r="J631" s="8"/>
    </row>
    <row r="632">
      <c r="G632" s="8"/>
      <c r="H632" s="8"/>
      <c r="I632" s="8"/>
      <c r="J632" s="8"/>
    </row>
    <row r="633">
      <c r="G633" s="8"/>
      <c r="H633" s="8"/>
      <c r="I633" s="8"/>
      <c r="J633" s="8"/>
    </row>
    <row r="634">
      <c r="G634" s="8"/>
      <c r="H634" s="8"/>
      <c r="I634" s="8"/>
      <c r="J634" s="8"/>
    </row>
    <row r="635">
      <c r="G635" s="8"/>
      <c r="H635" s="8"/>
      <c r="I635" s="8"/>
      <c r="J635" s="8"/>
    </row>
    <row r="636">
      <c r="G636" s="8"/>
      <c r="H636" s="8"/>
      <c r="I636" s="8"/>
      <c r="J636" s="8"/>
    </row>
    <row r="637">
      <c r="G637" s="8"/>
      <c r="H637" s="8"/>
      <c r="I637" s="8"/>
      <c r="J637" s="8"/>
    </row>
    <row r="638">
      <c r="G638" s="8"/>
      <c r="H638" s="8"/>
      <c r="I638" s="8"/>
      <c r="J638" s="8"/>
    </row>
    <row r="639">
      <c r="G639" s="8"/>
      <c r="H639" s="8"/>
      <c r="I639" s="8"/>
      <c r="J639" s="8"/>
    </row>
    <row r="640">
      <c r="G640" s="8"/>
      <c r="H640" s="8"/>
      <c r="I640" s="8"/>
      <c r="J640" s="8"/>
    </row>
    <row r="641">
      <c r="G641" s="8"/>
      <c r="H641" s="8"/>
      <c r="I641" s="8"/>
      <c r="J641" s="8"/>
    </row>
    <row r="642">
      <c r="G642" s="8"/>
      <c r="H642" s="8"/>
      <c r="I642" s="8"/>
      <c r="J642" s="8"/>
    </row>
    <row r="643">
      <c r="G643" s="8"/>
      <c r="H643" s="8"/>
      <c r="I643" s="8"/>
      <c r="J643" s="8"/>
    </row>
    <row r="644">
      <c r="G644" s="8"/>
      <c r="H644" s="8"/>
      <c r="I644" s="8"/>
      <c r="J644" s="8"/>
    </row>
    <row r="645">
      <c r="G645" s="8"/>
      <c r="H645" s="8"/>
      <c r="I645" s="8"/>
      <c r="J645" s="8"/>
    </row>
    <row r="646">
      <c r="G646" s="8"/>
      <c r="H646" s="8"/>
      <c r="I646" s="8"/>
      <c r="J646" s="8"/>
    </row>
    <row r="647">
      <c r="G647" s="8"/>
      <c r="H647" s="8"/>
      <c r="I647" s="8"/>
      <c r="J647" s="8"/>
    </row>
    <row r="648">
      <c r="G648" s="8"/>
      <c r="H648" s="8"/>
      <c r="I648" s="8"/>
      <c r="J648" s="8"/>
    </row>
    <row r="649">
      <c r="G649" s="8"/>
      <c r="H649" s="8"/>
      <c r="I649" s="8"/>
      <c r="J649" s="8"/>
    </row>
    <row r="650">
      <c r="G650" s="8"/>
      <c r="H650" s="8"/>
      <c r="I650" s="8"/>
      <c r="J650" s="8"/>
    </row>
    <row r="651">
      <c r="G651" s="8"/>
      <c r="H651" s="8"/>
      <c r="I651" s="8"/>
      <c r="J651" s="8"/>
    </row>
    <row r="652">
      <c r="G652" s="8"/>
      <c r="H652" s="8"/>
      <c r="I652" s="8"/>
      <c r="J652" s="8"/>
    </row>
    <row r="653">
      <c r="G653" s="8"/>
      <c r="H653" s="8"/>
      <c r="I653" s="8"/>
      <c r="J653" s="8"/>
    </row>
    <row r="654">
      <c r="G654" s="8"/>
      <c r="H654" s="8"/>
      <c r="I654" s="8"/>
      <c r="J654" s="8"/>
    </row>
    <row r="655">
      <c r="G655" s="8"/>
      <c r="H655" s="8"/>
      <c r="I655" s="8"/>
      <c r="J655" s="8"/>
    </row>
    <row r="656">
      <c r="G656" s="8"/>
      <c r="H656" s="8"/>
      <c r="I656" s="8"/>
      <c r="J656" s="8"/>
    </row>
    <row r="657">
      <c r="G657" s="8"/>
      <c r="H657" s="8"/>
      <c r="I657" s="8"/>
      <c r="J657" s="8"/>
    </row>
    <row r="658">
      <c r="G658" s="8"/>
      <c r="H658" s="8"/>
      <c r="I658" s="8"/>
      <c r="J658" s="8"/>
    </row>
    <row r="659">
      <c r="G659" s="8"/>
      <c r="H659" s="8"/>
      <c r="I659" s="8"/>
      <c r="J659" s="8"/>
    </row>
    <row r="660">
      <c r="G660" s="8"/>
      <c r="H660" s="8"/>
      <c r="I660" s="8"/>
      <c r="J660" s="8"/>
    </row>
    <row r="661">
      <c r="G661" s="8"/>
      <c r="H661" s="8"/>
      <c r="I661" s="8"/>
      <c r="J661" s="8"/>
    </row>
    <row r="662">
      <c r="G662" s="8"/>
      <c r="H662" s="8"/>
      <c r="I662" s="8"/>
      <c r="J662" s="8"/>
    </row>
    <row r="663">
      <c r="G663" s="8"/>
      <c r="H663" s="8"/>
      <c r="I663" s="8"/>
      <c r="J663" s="8"/>
    </row>
    <row r="664">
      <c r="G664" s="8"/>
      <c r="H664" s="8"/>
      <c r="I664" s="8"/>
      <c r="J664" s="8"/>
    </row>
    <row r="665">
      <c r="G665" s="8"/>
      <c r="H665" s="8"/>
      <c r="I665" s="8"/>
      <c r="J665" s="8"/>
    </row>
    <row r="666">
      <c r="G666" s="8"/>
      <c r="H666" s="8"/>
      <c r="I666" s="8"/>
      <c r="J666" s="8"/>
    </row>
    <row r="667">
      <c r="G667" s="8"/>
      <c r="H667" s="8"/>
      <c r="I667" s="8"/>
      <c r="J667" s="8"/>
    </row>
    <row r="668">
      <c r="G668" s="8"/>
      <c r="H668" s="8"/>
      <c r="I668" s="8"/>
      <c r="J668" s="8"/>
    </row>
    <row r="669">
      <c r="G669" s="8"/>
      <c r="H669" s="8"/>
      <c r="I669" s="8"/>
      <c r="J669" s="8"/>
    </row>
    <row r="670">
      <c r="G670" s="8"/>
      <c r="H670" s="8"/>
      <c r="I670" s="8"/>
      <c r="J670" s="8"/>
    </row>
    <row r="671">
      <c r="G671" s="8"/>
      <c r="H671" s="8"/>
      <c r="I671" s="8"/>
      <c r="J671" s="8"/>
    </row>
    <row r="672">
      <c r="G672" s="8"/>
      <c r="H672" s="8"/>
      <c r="I672" s="8"/>
      <c r="J672" s="8"/>
    </row>
    <row r="673">
      <c r="G673" s="8"/>
      <c r="H673" s="8"/>
      <c r="I673" s="8"/>
      <c r="J673" s="8"/>
    </row>
    <row r="674">
      <c r="G674" s="8"/>
      <c r="H674" s="8"/>
      <c r="I674" s="8"/>
      <c r="J674" s="8"/>
    </row>
    <row r="675">
      <c r="G675" s="8"/>
      <c r="H675" s="8"/>
      <c r="I675" s="8"/>
      <c r="J675" s="8"/>
    </row>
    <row r="676">
      <c r="G676" s="8"/>
      <c r="H676" s="8"/>
      <c r="I676" s="8"/>
      <c r="J676" s="8"/>
    </row>
    <row r="677">
      <c r="G677" s="8"/>
      <c r="H677" s="8"/>
      <c r="I677" s="8"/>
      <c r="J677" s="8"/>
    </row>
    <row r="678">
      <c r="G678" s="8"/>
      <c r="H678" s="8"/>
      <c r="I678" s="8"/>
      <c r="J678" s="8"/>
    </row>
    <row r="679">
      <c r="G679" s="8"/>
      <c r="H679" s="8"/>
      <c r="I679" s="8"/>
      <c r="J679" s="8"/>
    </row>
    <row r="680">
      <c r="G680" s="8"/>
      <c r="H680" s="8"/>
      <c r="I680" s="8"/>
      <c r="J680" s="8"/>
    </row>
    <row r="681">
      <c r="G681" s="8"/>
      <c r="H681" s="8"/>
      <c r="I681" s="8"/>
      <c r="J681" s="8"/>
    </row>
    <row r="682">
      <c r="G682" s="8"/>
      <c r="H682" s="8"/>
      <c r="I682" s="8"/>
      <c r="J682" s="8"/>
    </row>
    <row r="683">
      <c r="G683" s="8"/>
      <c r="H683" s="8"/>
      <c r="I683" s="8"/>
      <c r="J683" s="8"/>
    </row>
    <row r="684">
      <c r="G684" s="8"/>
      <c r="H684" s="8"/>
      <c r="I684" s="8"/>
      <c r="J684" s="8"/>
    </row>
    <row r="685">
      <c r="G685" s="8"/>
      <c r="H685" s="8"/>
      <c r="I685" s="8"/>
      <c r="J685" s="8"/>
    </row>
    <row r="686">
      <c r="G686" s="8"/>
      <c r="H686" s="8"/>
      <c r="I686" s="8"/>
      <c r="J686" s="8"/>
    </row>
    <row r="687">
      <c r="G687" s="8"/>
      <c r="H687" s="8"/>
      <c r="I687" s="8"/>
      <c r="J687" s="8"/>
    </row>
    <row r="688">
      <c r="G688" s="8"/>
      <c r="H688" s="8"/>
      <c r="I688" s="8"/>
      <c r="J688" s="8"/>
    </row>
    <row r="689">
      <c r="G689" s="8"/>
      <c r="H689" s="8"/>
      <c r="I689" s="8"/>
      <c r="J689" s="8"/>
    </row>
    <row r="690">
      <c r="G690" s="8"/>
      <c r="H690" s="8"/>
      <c r="I690" s="8"/>
      <c r="J690" s="8"/>
    </row>
    <row r="691">
      <c r="G691" s="8"/>
      <c r="H691" s="8"/>
      <c r="I691" s="8"/>
      <c r="J691" s="8"/>
    </row>
    <row r="692">
      <c r="G692" s="8"/>
      <c r="H692" s="8"/>
      <c r="I692" s="8"/>
      <c r="J692" s="8"/>
    </row>
    <row r="693">
      <c r="G693" s="8"/>
      <c r="H693" s="8"/>
      <c r="I693" s="8"/>
      <c r="J693" s="8"/>
    </row>
    <row r="694">
      <c r="G694" s="8"/>
      <c r="H694" s="8"/>
      <c r="I694" s="8"/>
      <c r="J694" s="8"/>
    </row>
    <row r="695">
      <c r="G695" s="8"/>
      <c r="H695" s="8"/>
      <c r="I695" s="8"/>
      <c r="J695" s="8"/>
    </row>
    <row r="696">
      <c r="G696" s="8"/>
      <c r="H696" s="8"/>
      <c r="I696" s="8"/>
      <c r="J696" s="8"/>
    </row>
    <row r="697">
      <c r="G697" s="8"/>
      <c r="H697" s="8"/>
      <c r="I697" s="8"/>
      <c r="J697" s="8"/>
    </row>
    <row r="698">
      <c r="G698" s="8"/>
      <c r="H698" s="8"/>
      <c r="I698" s="8"/>
      <c r="J698" s="8"/>
    </row>
    <row r="699">
      <c r="G699" s="8"/>
      <c r="H699" s="8"/>
      <c r="I699" s="8"/>
      <c r="J699" s="8"/>
    </row>
    <row r="700">
      <c r="G700" s="8"/>
      <c r="H700" s="8"/>
      <c r="I700" s="8"/>
      <c r="J700" s="8"/>
    </row>
    <row r="701">
      <c r="G701" s="8"/>
      <c r="H701" s="8"/>
      <c r="I701" s="8"/>
      <c r="J701" s="8"/>
    </row>
    <row r="702">
      <c r="G702" s="8"/>
      <c r="H702" s="8"/>
      <c r="I702" s="8"/>
      <c r="J702" s="8"/>
    </row>
    <row r="703">
      <c r="G703" s="8"/>
      <c r="H703" s="8"/>
      <c r="I703" s="8"/>
      <c r="J703" s="8"/>
    </row>
    <row r="704">
      <c r="G704" s="8"/>
      <c r="H704" s="8"/>
      <c r="I704" s="8"/>
      <c r="J704" s="8"/>
    </row>
    <row r="705">
      <c r="G705" s="8"/>
      <c r="H705" s="8"/>
      <c r="I705" s="8"/>
      <c r="J705" s="8"/>
    </row>
    <row r="706">
      <c r="G706" s="8"/>
      <c r="H706" s="8"/>
      <c r="I706" s="8"/>
      <c r="J706" s="8"/>
    </row>
    <row r="707">
      <c r="G707" s="8"/>
      <c r="H707" s="8"/>
      <c r="I707" s="8"/>
      <c r="J707" s="8"/>
    </row>
    <row r="708">
      <c r="G708" s="8"/>
      <c r="H708" s="8"/>
      <c r="I708" s="8"/>
      <c r="J708" s="8"/>
    </row>
    <row r="709">
      <c r="G709" s="8"/>
      <c r="H709" s="8"/>
      <c r="I709" s="8"/>
      <c r="J709" s="8"/>
    </row>
    <row r="710">
      <c r="G710" s="8"/>
      <c r="H710" s="8"/>
      <c r="I710" s="8"/>
      <c r="J710" s="8"/>
    </row>
    <row r="711">
      <c r="G711" s="8"/>
      <c r="H711" s="8"/>
      <c r="I711" s="8"/>
      <c r="J711" s="8"/>
    </row>
    <row r="712">
      <c r="G712" s="8"/>
      <c r="H712" s="8"/>
      <c r="I712" s="8"/>
      <c r="J712" s="8"/>
    </row>
    <row r="713">
      <c r="G713" s="8"/>
      <c r="H713" s="8"/>
      <c r="I713" s="8"/>
      <c r="J713" s="8"/>
    </row>
    <row r="714">
      <c r="G714" s="8"/>
      <c r="H714" s="8"/>
      <c r="I714" s="8"/>
      <c r="J714" s="8"/>
    </row>
    <row r="715">
      <c r="G715" s="8"/>
      <c r="H715" s="8"/>
      <c r="I715" s="8"/>
      <c r="J715" s="8"/>
    </row>
    <row r="716">
      <c r="G716" s="8"/>
      <c r="H716" s="8"/>
      <c r="I716" s="8"/>
      <c r="J716" s="8"/>
    </row>
    <row r="717">
      <c r="G717" s="8"/>
      <c r="H717" s="8"/>
      <c r="I717" s="8"/>
      <c r="J717" s="8"/>
    </row>
    <row r="718">
      <c r="G718" s="8"/>
      <c r="H718" s="8"/>
      <c r="I718" s="8"/>
      <c r="J718" s="8"/>
    </row>
    <row r="719">
      <c r="G719" s="8"/>
      <c r="H719" s="8"/>
      <c r="I719" s="8"/>
      <c r="J719" s="8"/>
    </row>
    <row r="720">
      <c r="G720" s="8"/>
      <c r="H720" s="8"/>
      <c r="I720" s="8"/>
      <c r="J720" s="8"/>
    </row>
    <row r="721">
      <c r="G721" s="8"/>
      <c r="H721" s="8"/>
      <c r="I721" s="8"/>
      <c r="J721" s="8"/>
    </row>
    <row r="722">
      <c r="G722" s="8"/>
      <c r="H722" s="8"/>
      <c r="I722" s="8"/>
      <c r="J722" s="8"/>
    </row>
    <row r="723">
      <c r="G723" s="8"/>
      <c r="H723" s="8"/>
      <c r="I723" s="8"/>
      <c r="J723" s="8"/>
    </row>
    <row r="724">
      <c r="G724" s="8"/>
      <c r="H724" s="8"/>
      <c r="I724" s="8"/>
      <c r="J724" s="8"/>
    </row>
    <row r="725">
      <c r="G725" s="8"/>
      <c r="H725" s="8"/>
      <c r="I725" s="8"/>
      <c r="J725" s="8"/>
    </row>
    <row r="726">
      <c r="G726" s="8"/>
      <c r="H726" s="8"/>
      <c r="I726" s="8"/>
      <c r="J726" s="8"/>
    </row>
    <row r="727">
      <c r="G727" s="8"/>
      <c r="H727" s="8"/>
      <c r="I727" s="8"/>
      <c r="J727" s="8"/>
    </row>
    <row r="728">
      <c r="G728" s="8"/>
      <c r="H728" s="8"/>
      <c r="I728" s="8"/>
      <c r="J728" s="8"/>
    </row>
    <row r="729">
      <c r="G729" s="8"/>
      <c r="H729" s="8"/>
      <c r="I729" s="8"/>
      <c r="J729" s="8"/>
    </row>
    <row r="730">
      <c r="G730" s="8"/>
      <c r="H730" s="8"/>
      <c r="I730" s="8"/>
      <c r="J730" s="8"/>
    </row>
    <row r="731">
      <c r="G731" s="8"/>
      <c r="H731" s="8"/>
      <c r="I731" s="8"/>
      <c r="J731" s="8"/>
    </row>
    <row r="732">
      <c r="G732" s="8"/>
      <c r="H732" s="8"/>
      <c r="I732" s="8"/>
      <c r="J732" s="8"/>
    </row>
    <row r="733">
      <c r="G733" s="8"/>
      <c r="H733" s="8"/>
      <c r="I733" s="8"/>
      <c r="J733" s="8"/>
    </row>
    <row r="734">
      <c r="G734" s="8"/>
      <c r="H734" s="8"/>
      <c r="I734" s="8"/>
      <c r="J734" s="8"/>
    </row>
    <row r="735">
      <c r="G735" s="8"/>
      <c r="H735" s="8"/>
      <c r="I735" s="8"/>
      <c r="J735" s="8"/>
    </row>
    <row r="736">
      <c r="G736" s="8"/>
      <c r="H736" s="8"/>
      <c r="I736" s="8"/>
      <c r="J736" s="8"/>
    </row>
    <row r="737">
      <c r="G737" s="8"/>
      <c r="H737" s="8"/>
      <c r="I737" s="8"/>
      <c r="J737" s="8"/>
    </row>
    <row r="738">
      <c r="G738" s="8"/>
      <c r="H738" s="8"/>
      <c r="I738" s="8"/>
      <c r="J738" s="8"/>
    </row>
    <row r="739">
      <c r="G739" s="8"/>
      <c r="H739" s="8"/>
      <c r="I739" s="8"/>
      <c r="J739" s="8"/>
    </row>
    <row r="740">
      <c r="G740" s="8"/>
      <c r="H740" s="8"/>
      <c r="I740" s="8"/>
      <c r="J740" s="8"/>
    </row>
    <row r="741">
      <c r="G741" s="8"/>
      <c r="H741" s="8"/>
      <c r="I741" s="8"/>
      <c r="J741" s="8"/>
    </row>
    <row r="742">
      <c r="G742" s="8"/>
      <c r="H742" s="8"/>
      <c r="I742" s="8"/>
      <c r="J742" s="8"/>
    </row>
    <row r="743">
      <c r="G743" s="8"/>
      <c r="H743" s="8"/>
      <c r="I743" s="8"/>
      <c r="J743" s="8"/>
    </row>
    <row r="744">
      <c r="G744" s="8"/>
      <c r="H744" s="8"/>
      <c r="I744" s="8"/>
      <c r="J744" s="8"/>
    </row>
    <row r="745">
      <c r="G745" s="8"/>
      <c r="H745" s="8"/>
      <c r="I745" s="8"/>
      <c r="J745" s="8"/>
    </row>
    <row r="746">
      <c r="G746" s="8"/>
      <c r="H746" s="8"/>
      <c r="I746" s="8"/>
      <c r="J746" s="8"/>
    </row>
    <row r="747">
      <c r="G747" s="8"/>
      <c r="H747" s="8"/>
      <c r="I747" s="8"/>
      <c r="J747" s="8"/>
    </row>
    <row r="748">
      <c r="G748" s="8"/>
      <c r="H748" s="8"/>
      <c r="I748" s="8"/>
      <c r="J748" s="8"/>
    </row>
    <row r="749">
      <c r="G749" s="8"/>
      <c r="H749" s="8"/>
      <c r="I749" s="8"/>
      <c r="J749" s="8"/>
    </row>
    <row r="750">
      <c r="G750" s="8"/>
      <c r="H750" s="8"/>
      <c r="I750" s="8"/>
      <c r="J750" s="8"/>
    </row>
    <row r="751">
      <c r="G751" s="8"/>
      <c r="H751" s="8"/>
      <c r="I751" s="8"/>
      <c r="J751" s="8"/>
    </row>
    <row r="752">
      <c r="G752" s="8"/>
      <c r="H752" s="8"/>
      <c r="I752" s="8"/>
      <c r="J752" s="8"/>
    </row>
    <row r="753">
      <c r="G753" s="8"/>
      <c r="H753" s="8"/>
      <c r="I753" s="8"/>
      <c r="J753" s="8"/>
    </row>
    <row r="754">
      <c r="G754" s="8"/>
      <c r="H754" s="8"/>
      <c r="I754" s="8"/>
      <c r="J754" s="8"/>
    </row>
    <row r="755">
      <c r="G755" s="8"/>
      <c r="H755" s="8"/>
      <c r="I755" s="8"/>
      <c r="J755" s="8"/>
    </row>
    <row r="756">
      <c r="G756" s="8"/>
      <c r="H756" s="8"/>
      <c r="I756" s="8"/>
      <c r="J756" s="8"/>
    </row>
    <row r="757">
      <c r="G757" s="8"/>
      <c r="H757" s="8"/>
      <c r="I757" s="8"/>
      <c r="J757" s="8"/>
    </row>
    <row r="758">
      <c r="G758" s="8"/>
      <c r="H758" s="8"/>
      <c r="I758" s="8"/>
      <c r="J758" s="8"/>
    </row>
    <row r="759">
      <c r="G759" s="8"/>
      <c r="H759" s="8"/>
      <c r="I759" s="8"/>
      <c r="J759" s="8"/>
    </row>
    <row r="760">
      <c r="G760" s="8"/>
      <c r="H760" s="8"/>
      <c r="I760" s="8"/>
      <c r="J760" s="8"/>
    </row>
    <row r="761">
      <c r="G761" s="8"/>
      <c r="H761" s="8"/>
      <c r="I761" s="8"/>
      <c r="J761" s="8"/>
    </row>
    <row r="762">
      <c r="G762" s="8"/>
      <c r="H762" s="8"/>
      <c r="I762" s="8"/>
      <c r="J762" s="8"/>
    </row>
    <row r="763">
      <c r="G763" s="8"/>
      <c r="H763" s="8"/>
      <c r="I763" s="8"/>
      <c r="J763" s="8"/>
    </row>
    <row r="764">
      <c r="G764" s="8"/>
      <c r="H764" s="8"/>
      <c r="I764" s="8"/>
      <c r="J764" s="8"/>
    </row>
    <row r="765">
      <c r="G765" s="8"/>
      <c r="H765" s="8"/>
      <c r="I765" s="8"/>
      <c r="J765" s="8"/>
    </row>
    <row r="766">
      <c r="G766" s="8"/>
      <c r="H766" s="8"/>
      <c r="I766" s="8"/>
      <c r="J766" s="8"/>
    </row>
    <row r="767">
      <c r="G767" s="8"/>
      <c r="H767" s="8"/>
      <c r="I767" s="8"/>
      <c r="J767" s="8"/>
    </row>
    <row r="768">
      <c r="G768" s="8"/>
      <c r="H768" s="8"/>
      <c r="I768" s="8"/>
      <c r="J768" s="8"/>
    </row>
    <row r="769">
      <c r="G769" s="8"/>
      <c r="H769" s="8"/>
      <c r="I769" s="8"/>
      <c r="J769" s="8"/>
    </row>
    <row r="770">
      <c r="G770" s="8"/>
      <c r="H770" s="8"/>
      <c r="I770" s="8"/>
      <c r="J770" s="8"/>
    </row>
    <row r="771">
      <c r="G771" s="8"/>
      <c r="H771" s="8"/>
      <c r="I771" s="8"/>
      <c r="J771" s="8"/>
    </row>
    <row r="772">
      <c r="G772" s="8"/>
      <c r="H772" s="8"/>
      <c r="I772" s="8"/>
      <c r="J772" s="8"/>
    </row>
    <row r="773">
      <c r="G773" s="8"/>
      <c r="H773" s="8"/>
      <c r="I773" s="8"/>
      <c r="J773" s="8"/>
    </row>
    <row r="774">
      <c r="G774" s="8"/>
      <c r="H774" s="8"/>
      <c r="I774" s="8"/>
      <c r="J774" s="8"/>
    </row>
    <row r="775">
      <c r="G775" s="8"/>
      <c r="H775" s="8"/>
      <c r="I775" s="8"/>
      <c r="J775" s="8"/>
    </row>
    <row r="776">
      <c r="G776" s="8"/>
      <c r="H776" s="8"/>
      <c r="I776" s="8"/>
      <c r="J776" s="8"/>
    </row>
    <row r="777">
      <c r="G777" s="8"/>
      <c r="H777" s="8"/>
      <c r="I777" s="8"/>
      <c r="J777" s="8"/>
    </row>
    <row r="778">
      <c r="G778" s="8"/>
      <c r="H778" s="8"/>
      <c r="I778" s="8"/>
      <c r="J778" s="8"/>
    </row>
    <row r="779">
      <c r="G779" s="8"/>
      <c r="H779" s="8"/>
      <c r="I779" s="8"/>
      <c r="J779" s="8"/>
    </row>
    <row r="780">
      <c r="G780" s="8"/>
      <c r="H780" s="8"/>
      <c r="I780" s="8"/>
      <c r="J780" s="8"/>
    </row>
    <row r="781">
      <c r="G781" s="8"/>
      <c r="H781" s="8"/>
      <c r="I781" s="8"/>
      <c r="J781" s="8"/>
    </row>
    <row r="782">
      <c r="G782" s="8"/>
      <c r="H782" s="8"/>
      <c r="I782" s="8"/>
      <c r="J782" s="8"/>
    </row>
    <row r="783">
      <c r="G783" s="8"/>
      <c r="H783" s="8"/>
      <c r="I783" s="8"/>
      <c r="J783" s="8"/>
    </row>
    <row r="784">
      <c r="G784" s="8"/>
      <c r="H784" s="8"/>
      <c r="I784" s="8"/>
      <c r="J784" s="8"/>
    </row>
    <row r="785">
      <c r="G785" s="8"/>
      <c r="H785" s="8"/>
      <c r="I785" s="8"/>
      <c r="J785" s="8"/>
    </row>
    <row r="786">
      <c r="G786" s="8"/>
      <c r="H786" s="8"/>
      <c r="I786" s="8"/>
      <c r="J786" s="8"/>
    </row>
    <row r="787">
      <c r="G787" s="8"/>
      <c r="H787" s="8"/>
      <c r="I787" s="8"/>
      <c r="J787" s="8"/>
    </row>
    <row r="788">
      <c r="G788" s="8"/>
      <c r="H788" s="8"/>
      <c r="I788" s="8"/>
      <c r="J788" s="8"/>
    </row>
    <row r="789">
      <c r="G789" s="8"/>
      <c r="H789" s="8"/>
      <c r="I789" s="8"/>
      <c r="J789" s="8"/>
    </row>
    <row r="790">
      <c r="G790" s="8"/>
      <c r="H790" s="8"/>
      <c r="I790" s="8"/>
      <c r="J790" s="8"/>
    </row>
    <row r="791">
      <c r="G791" s="8"/>
      <c r="H791" s="8"/>
      <c r="I791" s="8"/>
      <c r="J791" s="8"/>
    </row>
    <row r="792">
      <c r="G792" s="8"/>
      <c r="H792" s="8"/>
      <c r="I792" s="8"/>
      <c r="J792" s="8"/>
    </row>
    <row r="793">
      <c r="G793" s="8"/>
      <c r="H793" s="8"/>
      <c r="I793" s="8"/>
      <c r="J793" s="8"/>
    </row>
    <row r="794">
      <c r="G794" s="8"/>
      <c r="H794" s="8"/>
      <c r="I794" s="8"/>
      <c r="J794" s="8"/>
    </row>
    <row r="795">
      <c r="G795" s="8"/>
      <c r="H795" s="8"/>
      <c r="I795" s="8"/>
      <c r="J795" s="8"/>
    </row>
    <row r="796">
      <c r="G796" s="8"/>
      <c r="H796" s="8"/>
      <c r="I796" s="8"/>
      <c r="J796" s="8"/>
    </row>
    <row r="797">
      <c r="G797" s="8"/>
      <c r="H797" s="8"/>
      <c r="I797" s="8"/>
      <c r="J797" s="8"/>
    </row>
    <row r="798">
      <c r="G798" s="8"/>
      <c r="H798" s="8"/>
      <c r="I798" s="8"/>
      <c r="J798" s="8"/>
    </row>
    <row r="799">
      <c r="G799" s="8"/>
      <c r="H799" s="8"/>
      <c r="I799" s="8"/>
      <c r="J799" s="8"/>
    </row>
    <row r="800">
      <c r="G800" s="8"/>
      <c r="H800" s="8"/>
      <c r="I800" s="8"/>
      <c r="J800" s="8"/>
    </row>
    <row r="801">
      <c r="G801" s="8"/>
      <c r="H801" s="8"/>
      <c r="I801" s="8"/>
      <c r="J801" s="8"/>
    </row>
    <row r="802">
      <c r="G802" s="8"/>
      <c r="H802" s="8"/>
      <c r="I802" s="8"/>
      <c r="J802" s="8"/>
    </row>
    <row r="803">
      <c r="G803" s="8"/>
      <c r="H803" s="8"/>
      <c r="I803" s="8"/>
      <c r="J803" s="8"/>
    </row>
    <row r="804">
      <c r="G804" s="8"/>
      <c r="H804" s="8"/>
      <c r="I804" s="8"/>
      <c r="J804" s="8"/>
    </row>
    <row r="805">
      <c r="G805" s="8"/>
      <c r="H805" s="8"/>
      <c r="I805" s="8"/>
      <c r="J805" s="8"/>
    </row>
    <row r="806">
      <c r="G806" s="8"/>
      <c r="H806" s="8"/>
      <c r="I806" s="8"/>
      <c r="J806" s="8"/>
    </row>
    <row r="807">
      <c r="G807" s="8"/>
      <c r="H807" s="8"/>
      <c r="I807" s="8"/>
      <c r="J807" s="8"/>
    </row>
    <row r="808">
      <c r="G808" s="8"/>
      <c r="H808" s="8"/>
      <c r="I808" s="8"/>
      <c r="J808" s="8"/>
    </row>
    <row r="809">
      <c r="G809" s="8"/>
      <c r="H809" s="8"/>
      <c r="I809" s="8"/>
      <c r="J809" s="8"/>
    </row>
    <row r="810">
      <c r="G810" s="8"/>
      <c r="H810" s="8"/>
      <c r="I810" s="8"/>
      <c r="J810" s="8"/>
    </row>
    <row r="811">
      <c r="G811" s="8"/>
      <c r="H811" s="8"/>
      <c r="I811" s="8"/>
      <c r="J811" s="8"/>
    </row>
    <row r="812">
      <c r="G812" s="8"/>
      <c r="H812" s="8"/>
      <c r="I812" s="8"/>
      <c r="J812" s="8"/>
    </row>
    <row r="813">
      <c r="G813" s="8"/>
      <c r="H813" s="8"/>
      <c r="I813" s="8"/>
      <c r="J813" s="8"/>
    </row>
    <row r="814">
      <c r="G814" s="8"/>
      <c r="H814" s="8"/>
      <c r="I814" s="8"/>
      <c r="J814" s="8"/>
    </row>
    <row r="815">
      <c r="G815" s="8"/>
      <c r="H815" s="8"/>
      <c r="I815" s="8"/>
      <c r="J815" s="8"/>
    </row>
    <row r="816">
      <c r="G816" s="8"/>
      <c r="H816" s="8"/>
      <c r="I816" s="8"/>
      <c r="J816" s="8"/>
    </row>
    <row r="817">
      <c r="G817" s="8"/>
      <c r="H817" s="8"/>
      <c r="I817" s="8"/>
      <c r="J817" s="8"/>
    </row>
    <row r="818">
      <c r="G818" s="8"/>
      <c r="H818" s="8"/>
      <c r="I818" s="8"/>
      <c r="J818" s="8"/>
    </row>
    <row r="819">
      <c r="G819" s="8"/>
      <c r="H819" s="8"/>
      <c r="I819" s="8"/>
      <c r="J819" s="8"/>
    </row>
    <row r="820">
      <c r="G820" s="8"/>
      <c r="H820" s="8"/>
      <c r="I820" s="8"/>
      <c r="J820" s="8"/>
    </row>
    <row r="821">
      <c r="G821" s="8"/>
      <c r="H821" s="8"/>
      <c r="I821" s="8"/>
      <c r="J821" s="8"/>
    </row>
    <row r="822">
      <c r="G822" s="8"/>
      <c r="H822" s="8"/>
      <c r="I822" s="8"/>
      <c r="J822" s="8"/>
    </row>
    <row r="823">
      <c r="G823" s="8"/>
      <c r="H823" s="8"/>
      <c r="I823" s="8"/>
      <c r="J823" s="8"/>
    </row>
    <row r="824">
      <c r="G824" s="8"/>
      <c r="H824" s="8"/>
      <c r="I824" s="8"/>
      <c r="J824" s="8"/>
    </row>
    <row r="825">
      <c r="G825" s="8"/>
      <c r="H825" s="8"/>
      <c r="I825" s="8"/>
      <c r="J825" s="8"/>
    </row>
    <row r="826">
      <c r="G826" s="8"/>
      <c r="H826" s="8"/>
      <c r="I826" s="8"/>
      <c r="J826" s="8"/>
    </row>
    <row r="827">
      <c r="G827" s="8"/>
      <c r="H827" s="8"/>
      <c r="I827" s="8"/>
      <c r="J827" s="8"/>
    </row>
    <row r="828">
      <c r="G828" s="8"/>
      <c r="H828" s="8"/>
      <c r="I828" s="8"/>
      <c r="J828" s="8"/>
    </row>
    <row r="829">
      <c r="G829" s="8"/>
      <c r="H829" s="8"/>
      <c r="I829" s="8"/>
      <c r="J829" s="8"/>
    </row>
    <row r="830">
      <c r="G830" s="8"/>
      <c r="H830" s="8"/>
      <c r="I830" s="8"/>
      <c r="J830" s="8"/>
    </row>
    <row r="831">
      <c r="G831" s="8"/>
      <c r="H831" s="8"/>
      <c r="I831" s="8"/>
      <c r="J831" s="8"/>
    </row>
    <row r="832">
      <c r="G832" s="8"/>
      <c r="H832" s="8"/>
      <c r="I832" s="8"/>
      <c r="J832" s="8"/>
    </row>
    <row r="833">
      <c r="G833" s="8"/>
      <c r="H833" s="8"/>
      <c r="I833" s="8"/>
      <c r="J833" s="8"/>
    </row>
    <row r="834">
      <c r="G834" s="8"/>
      <c r="H834" s="8"/>
      <c r="I834" s="8"/>
      <c r="J834" s="8"/>
    </row>
    <row r="835">
      <c r="G835" s="8"/>
      <c r="H835" s="8"/>
      <c r="I835" s="8"/>
      <c r="J835" s="8"/>
    </row>
    <row r="836">
      <c r="G836" s="8"/>
      <c r="H836" s="8"/>
      <c r="I836" s="8"/>
      <c r="J836" s="8"/>
    </row>
    <row r="837">
      <c r="G837" s="8"/>
      <c r="H837" s="8"/>
      <c r="I837" s="8"/>
      <c r="J837" s="8"/>
    </row>
    <row r="838">
      <c r="G838" s="8"/>
      <c r="H838" s="8"/>
      <c r="I838" s="8"/>
      <c r="J838" s="8"/>
    </row>
    <row r="839">
      <c r="G839" s="8"/>
      <c r="H839" s="8"/>
      <c r="I839" s="8"/>
      <c r="J839" s="8"/>
    </row>
    <row r="840">
      <c r="G840" s="8"/>
      <c r="H840" s="8"/>
      <c r="I840" s="8"/>
      <c r="J840" s="8"/>
    </row>
    <row r="841">
      <c r="G841" s="8"/>
      <c r="H841" s="8"/>
      <c r="I841" s="8"/>
      <c r="J841" s="8"/>
    </row>
    <row r="842">
      <c r="G842" s="8"/>
      <c r="H842" s="8"/>
      <c r="I842" s="8"/>
      <c r="J842" s="8"/>
    </row>
    <row r="843">
      <c r="G843" s="8"/>
      <c r="H843" s="8"/>
      <c r="I843" s="8"/>
      <c r="J843" s="8"/>
    </row>
    <row r="844">
      <c r="G844" s="8"/>
      <c r="H844" s="8"/>
      <c r="I844" s="8"/>
      <c r="J844" s="8"/>
    </row>
    <row r="845">
      <c r="G845" s="8"/>
      <c r="H845" s="8"/>
      <c r="I845" s="8"/>
      <c r="J845" s="8"/>
    </row>
    <row r="846">
      <c r="G846" s="8"/>
      <c r="H846" s="8"/>
      <c r="I846" s="8"/>
      <c r="J846" s="8"/>
    </row>
    <row r="847">
      <c r="G847" s="8"/>
      <c r="H847" s="8"/>
      <c r="I847" s="8"/>
      <c r="J847" s="8"/>
    </row>
    <row r="848">
      <c r="G848" s="8"/>
      <c r="H848" s="8"/>
      <c r="I848" s="8"/>
      <c r="J848" s="8"/>
    </row>
    <row r="849">
      <c r="G849" s="8"/>
      <c r="H849" s="8"/>
      <c r="I849" s="8"/>
      <c r="J849" s="8"/>
    </row>
    <row r="850">
      <c r="G850" s="8"/>
      <c r="H850" s="8"/>
      <c r="I850" s="8"/>
      <c r="J850" s="8"/>
    </row>
    <row r="851">
      <c r="G851" s="8"/>
      <c r="H851" s="8"/>
      <c r="I851" s="8"/>
      <c r="J851" s="8"/>
    </row>
    <row r="852">
      <c r="G852" s="8"/>
      <c r="H852" s="8"/>
      <c r="I852" s="8"/>
      <c r="J852" s="8"/>
    </row>
    <row r="853">
      <c r="G853" s="8"/>
      <c r="H853" s="8"/>
      <c r="I853" s="8"/>
      <c r="J853" s="8"/>
    </row>
    <row r="854">
      <c r="G854" s="8"/>
      <c r="H854" s="8"/>
      <c r="I854" s="8"/>
      <c r="J854" s="8"/>
    </row>
    <row r="855">
      <c r="G855" s="8"/>
      <c r="H855" s="8"/>
      <c r="I855" s="8"/>
      <c r="J855" s="8"/>
    </row>
    <row r="856">
      <c r="G856" s="8"/>
      <c r="H856" s="8"/>
      <c r="I856" s="8"/>
      <c r="J856" s="8"/>
    </row>
    <row r="857">
      <c r="G857" s="8"/>
      <c r="H857" s="8"/>
      <c r="I857" s="8"/>
      <c r="J857" s="8"/>
    </row>
    <row r="858">
      <c r="G858" s="8"/>
      <c r="H858" s="8"/>
      <c r="I858" s="8"/>
      <c r="J858" s="8"/>
    </row>
    <row r="859">
      <c r="G859" s="8"/>
      <c r="H859" s="8"/>
      <c r="I859" s="8"/>
      <c r="J859" s="8"/>
    </row>
    <row r="860">
      <c r="G860" s="8"/>
      <c r="H860" s="8"/>
      <c r="I860" s="8"/>
      <c r="J860" s="8"/>
    </row>
    <row r="861">
      <c r="G861" s="8"/>
      <c r="H861" s="8"/>
      <c r="I861" s="8"/>
      <c r="J861" s="8"/>
    </row>
    <row r="862">
      <c r="G862" s="8"/>
      <c r="H862" s="8"/>
      <c r="I862" s="8"/>
      <c r="J862" s="8"/>
    </row>
    <row r="863">
      <c r="G863" s="8"/>
      <c r="H863" s="8"/>
      <c r="I863" s="8"/>
      <c r="J863" s="8"/>
    </row>
    <row r="864">
      <c r="G864" s="8"/>
      <c r="H864" s="8"/>
      <c r="I864" s="8"/>
      <c r="J864" s="8"/>
    </row>
    <row r="865">
      <c r="G865" s="8"/>
      <c r="H865" s="8"/>
      <c r="I865" s="8"/>
      <c r="J865" s="8"/>
    </row>
    <row r="866">
      <c r="G866" s="8"/>
      <c r="H866" s="8"/>
      <c r="I866" s="8"/>
      <c r="J866" s="8"/>
    </row>
    <row r="867">
      <c r="G867" s="8"/>
      <c r="H867" s="8"/>
      <c r="I867" s="8"/>
      <c r="J867" s="8"/>
    </row>
    <row r="868">
      <c r="G868" s="8"/>
      <c r="H868" s="8"/>
      <c r="I868" s="8"/>
      <c r="J868" s="8"/>
    </row>
    <row r="869">
      <c r="G869" s="8"/>
      <c r="H869" s="8"/>
      <c r="I869" s="8"/>
      <c r="J869" s="8"/>
    </row>
    <row r="870">
      <c r="G870" s="8"/>
      <c r="H870" s="8"/>
      <c r="I870" s="8"/>
      <c r="J870" s="8"/>
    </row>
    <row r="871">
      <c r="G871" s="8"/>
      <c r="H871" s="8"/>
      <c r="I871" s="8"/>
      <c r="J871" s="8"/>
    </row>
    <row r="872">
      <c r="G872" s="8"/>
      <c r="H872" s="8"/>
      <c r="I872" s="8"/>
      <c r="J872" s="8"/>
    </row>
    <row r="873">
      <c r="G873" s="8"/>
      <c r="H873" s="8"/>
      <c r="I873" s="8"/>
      <c r="J873" s="8"/>
    </row>
    <row r="874">
      <c r="G874" s="8"/>
      <c r="H874" s="8"/>
      <c r="I874" s="8"/>
      <c r="J874" s="8"/>
    </row>
    <row r="875">
      <c r="G875" s="8"/>
      <c r="H875" s="8"/>
      <c r="I875" s="8"/>
      <c r="J875" s="8"/>
    </row>
    <row r="876">
      <c r="G876" s="8"/>
      <c r="H876" s="8"/>
      <c r="I876" s="8"/>
      <c r="J876" s="8"/>
    </row>
    <row r="877">
      <c r="G877" s="8"/>
      <c r="H877" s="8"/>
      <c r="I877" s="8"/>
      <c r="J877" s="8"/>
    </row>
    <row r="878">
      <c r="G878" s="8"/>
      <c r="H878" s="8"/>
      <c r="I878" s="8"/>
      <c r="J878" s="8"/>
    </row>
    <row r="879">
      <c r="G879" s="8"/>
      <c r="H879" s="8"/>
      <c r="I879" s="8"/>
      <c r="J879" s="8"/>
    </row>
    <row r="880">
      <c r="G880" s="8"/>
      <c r="H880" s="8"/>
      <c r="I880" s="8"/>
      <c r="J880" s="8"/>
    </row>
    <row r="881">
      <c r="G881" s="8"/>
      <c r="H881" s="8"/>
      <c r="I881" s="8"/>
      <c r="J881" s="8"/>
    </row>
    <row r="882">
      <c r="G882" s="8"/>
      <c r="H882" s="8"/>
      <c r="I882" s="8"/>
      <c r="J882" s="8"/>
    </row>
    <row r="883">
      <c r="G883" s="8"/>
      <c r="H883" s="8"/>
      <c r="I883" s="8"/>
      <c r="J883" s="8"/>
    </row>
    <row r="884">
      <c r="G884" s="8"/>
      <c r="H884" s="8"/>
      <c r="I884" s="8"/>
      <c r="J884" s="8"/>
    </row>
    <row r="885">
      <c r="G885" s="8"/>
      <c r="H885" s="8"/>
      <c r="I885" s="8"/>
      <c r="J885" s="8"/>
    </row>
    <row r="886">
      <c r="G886" s="8"/>
      <c r="H886" s="8"/>
      <c r="I886" s="8"/>
      <c r="J886" s="8"/>
    </row>
    <row r="887">
      <c r="G887" s="8"/>
      <c r="H887" s="8"/>
      <c r="I887" s="8"/>
      <c r="J887" s="8"/>
    </row>
    <row r="888">
      <c r="G888" s="8"/>
      <c r="H888" s="8"/>
      <c r="I888" s="8"/>
      <c r="J888" s="8"/>
    </row>
    <row r="889">
      <c r="G889" s="8"/>
      <c r="H889" s="8"/>
      <c r="I889" s="8"/>
      <c r="J889" s="8"/>
    </row>
    <row r="890">
      <c r="G890" s="8"/>
      <c r="H890" s="8"/>
      <c r="I890" s="8"/>
      <c r="J890" s="8"/>
    </row>
    <row r="891">
      <c r="G891" s="8"/>
      <c r="H891" s="8"/>
      <c r="I891" s="8"/>
      <c r="J891" s="8"/>
    </row>
    <row r="892">
      <c r="G892" s="8"/>
      <c r="H892" s="8"/>
      <c r="I892" s="8"/>
      <c r="J892" s="8"/>
    </row>
    <row r="893">
      <c r="G893" s="8"/>
      <c r="H893" s="8"/>
      <c r="I893" s="8"/>
      <c r="J893" s="8"/>
    </row>
    <row r="894">
      <c r="G894" s="8"/>
      <c r="H894" s="8"/>
      <c r="I894" s="8"/>
      <c r="J894" s="8"/>
    </row>
    <row r="895">
      <c r="G895" s="8"/>
      <c r="H895" s="8"/>
      <c r="I895" s="8"/>
      <c r="J895" s="8"/>
    </row>
    <row r="896">
      <c r="G896" s="8"/>
      <c r="H896" s="8"/>
      <c r="I896" s="8"/>
      <c r="J896" s="8"/>
    </row>
    <row r="897">
      <c r="G897" s="8"/>
      <c r="H897" s="8"/>
      <c r="I897" s="8"/>
      <c r="J897" s="8"/>
    </row>
    <row r="898">
      <c r="G898" s="8"/>
      <c r="H898" s="8"/>
      <c r="I898" s="8"/>
      <c r="J898" s="8"/>
    </row>
    <row r="899">
      <c r="G899" s="8"/>
      <c r="H899" s="8"/>
      <c r="I899" s="8"/>
      <c r="J899" s="8"/>
    </row>
    <row r="900">
      <c r="G900" s="8"/>
      <c r="H900" s="8"/>
      <c r="I900" s="8"/>
      <c r="J900" s="8"/>
    </row>
    <row r="901">
      <c r="G901" s="8"/>
      <c r="H901" s="8"/>
      <c r="I901" s="8"/>
      <c r="J901" s="8"/>
    </row>
    <row r="902">
      <c r="G902" s="8"/>
      <c r="H902" s="8"/>
      <c r="I902" s="8"/>
      <c r="J902" s="8"/>
    </row>
    <row r="903">
      <c r="G903" s="8"/>
      <c r="H903" s="8"/>
      <c r="I903" s="8"/>
      <c r="J903" s="8"/>
    </row>
    <row r="904">
      <c r="G904" s="8"/>
      <c r="H904" s="8"/>
      <c r="I904" s="8"/>
      <c r="J904" s="8"/>
    </row>
    <row r="905">
      <c r="G905" s="8"/>
      <c r="H905" s="8"/>
      <c r="I905" s="8"/>
      <c r="J905" s="8"/>
    </row>
    <row r="906">
      <c r="G906" s="8"/>
      <c r="H906" s="8"/>
      <c r="I906" s="8"/>
      <c r="J906" s="8"/>
    </row>
    <row r="907">
      <c r="G907" s="8"/>
      <c r="H907" s="8"/>
      <c r="I907" s="8"/>
      <c r="J907" s="8"/>
    </row>
    <row r="908">
      <c r="G908" s="8"/>
      <c r="H908" s="8"/>
      <c r="I908" s="8"/>
      <c r="J908" s="8"/>
    </row>
    <row r="909">
      <c r="G909" s="8"/>
      <c r="H909" s="8"/>
      <c r="I909" s="8"/>
      <c r="J909" s="8"/>
    </row>
    <row r="910">
      <c r="G910" s="8"/>
      <c r="H910" s="8"/>
      <c r="I910" s="8"/>
      <c r="J910" s="8"/>
    </row>
    <row r="911">
      <c r="G911" s="8"/>
      <c r="H911" s="8"/>
      <c r="I911" s="8"/>
      <c r="J911" s="8"/>
    </row>
    <row r="912">
      <c r="G912" s="8"/>
      <c r="H912" s="8"/>
      <c r="I912" s="8"/>
      <c r="J912" s="8"/>
    </row>
    <row r="913">
      <c r="G913" s="8"/>
      <c r="H913" s="8"/>
      <c r="I913" s="8"/>
      <c r="J913" s="8"/>
    </row>
    <row r="914">
      <c r="G914" s="8"/>
      <c r="H914" s="8"/>
      <c r="I914" s="8"/>
      <c r="J914" s="8"/>
    </row>
    <row r="915">
      <c r="G915" s="8"/>
      <c r="H915" s="8"/>
      <c r="I915" s="8"/>
      <c r="J915" s="8"/>
    </row>
    <row r="916">
      <c r="G916" s="8"/>
      <c r="H916" s="8"/>
      <c r="I916" s="8"/>
      <c r="J916" s="8"/>
    </row>
    <row r="917">
      <c r="G917" s="8"/>
      <c r="H917" s="8"/>
      <c r="I917" s="8"/>
      <c r="J917" s="8"/>
    </row>
    <row r="918">
      <c r="G918" s="8"/>
      <c r="H918" s="8"/>
      <c r="I918" s="8"/>
      <c r="J918" s="8"/>
    </row>
    <row r="919">
      <c r="G919" s="8"/>
      <c r="H919" s="8"/>
      <c r="I919" s="8"/>
      <c r="J919" s="8"/>
    </row>
    <row r="920">
      <c r="G920" s="8"/>
      <c r="H920" s="8"/>
      <c r="I920" s="8"/>
      <c r="J920" s="8"/>
    </row>
    <row r="921">
      <c r="G921" s="8"/>
      <c r="H921" s="8"/>
      <c r="I921" s="8"/>
      <c r="J921" s="8"/>
    </row>
    <row r="922">
      <c r="G922" s="8"/>
      <c r="H922" s="8"/>
      <c r="I922" s="8"/>
      <c r="J922" s="8"/>
    </row>
    <row r="923">
      <c r="G923" s="8"/>
      <c r="H923" s="8"/>
      <c r="I923" s="8"/>
      <c r="J923" s="8"/>
    </row>
    <row r="924">
      <c r="G924" s="8"/>
      <c r="H924" s="8"/>
      <c r="I924" s="8"/>
      <c r="J924" s="8"/>
    </row>
    <row r="925">
      <c r="G925" s="8"/>
      <c r="H925" s="8"/>
      <c r="I925" s="8"/>
      <c r="J925" s="8"/>
    </row>
    <row r="926">
      <c r="G926" s="8"/>
      <c r="H926" s="8"/>
      <c r="I926" s="8"/>
      <c r="J926" s="8"/>
    </row>
    <row r="927">
      <c r="G927" s="8"/>
      <c r="H927" s="8"/>
      <c r="I927" s="8"/>
      <c r="J927" s="8"/>
    </row>
    <row r="928">
      <c r="G928" s="8"/>
      <c r="H928" s="8"/>
      <c r="I928" s="8"/>
      <c r="J928" s="8"/>
    </row>
    <row r="929">
      <c r="G929" s="8"/>
      <c r="H929" s="8"/>
      <c r="I929" s="8"/>
      <c r="J929" s="8"/>
    </row>
    <row r="930">
      <c r="G930" s="8"/>
      <c r="H930" s="8"/>
      <c r="I930" s="8"/>
      <c r="J930" s="8"/>
    </row>
    <row r="931">
      <c r="G931" s="8"/>
      <c r="H931" s="8"/>
      <c r="I931" s="8"/>
      <c r="J931" s="8"/>
    </row>
    <row r="932">
      <c r="G932" s="8"/>
      <c r="H932" s="8"/>
      <c r="I932" s="8"/>
      <c r="J932" s="8"/>
    </row>
    <row r="933">
      <c r="G933" s="8"/>
      <c r="H933" s="8"/>
      <c r="I933" s="8"/>
      <c r="J933" s="8"/>
    </row>
    <row r="934">
      <c r="G934" s="8"/>
      <c r="H934" s="8"/>
      <c r="I934" s="8"/>
      <c r="J934" s="8"/>
    </row>
    <row r="935">
      <c r="G935" s="8"/>
      <c r="H935" s="8"/>
      <c r="I935" s="8"/>
      <c r="J935" s="8"/>
    </row>
    <row r="936">
      <c r="G936" s="8"/>
      <c r="H936" s="8"/>
      <c r="I936" s="8"/>
      <c r="J936" s="8"/>
    </row>
    <row r="937">
      <c r="G937" s="8"/>
      <c r="H937" s="8"/>
      <c r="I937" s="8"/>
      <c r="J937" s="8"/>
    </row>
    <row r="938">
      <c r="G938" s="8"/>
      <c r="H938" s="8"/>
      <c r="I938" s="8"/>
      <c r="J938" s="8"/>
    </row>
    <row r="939">
      <c r="G939" s="8"/>
      <c r="H939" s="8"/>
      <c r="I939" s="8"/>
      <c r="J939" s="8"/>
    </row>
    <row r="940">
      <c r="G940" s="8"/>
      <c r="H940" s="8"/>
      <c r="I940" s="8"/>
      <c r="J940" s="8"/>
    </row>
    <row r="941">
      <c r="G941" s="8"/>
      <c r="H941" s="8"/>
      <c r="I941" s="8"/>
      <c r="J941" s="8"/>
    </row>
    <row r="942">
      <c r="G942" s="8"/>
      <c r="H942" s="8"/>
      <c r="I942" s="8"/>
      <c r="J942" s="8"/>
    </row>
    <row r="943">
      <c r="G943" s="8"/>
      <c r="H943" s="8"/>
      <c r="I943" s="8"/>
      <c r="J943" s="8"/>
    </row>
    <row r="944">
      <c r="G944" s="8"/>
      <c r="H944" s="8"/>
      <c r="I944" s="8"/>
      <c r="J944" s="8"/>
    </row>
    <row r="945">
      <c r="G945" s="8"/>
      <c r="H945" s="8"/>
      <c r="I945" s="8"/>
      <c r="J945" s="8"/>
    </row>
    <row r="946">
      <c r="G946" s="8"/>
      <c r="H946" s="8"/>
      <c r="I946" s="8"/>
      <c r="J946" s="8"/>
    </row>
    <row r="947">
      <c r="G947" s="8"/>
      <c r="H947" s="8"/>
      <c r="I947" s="8"/>
      <c r="J947" s="8"/>
    </row>
    <row r="948">
      <c r="G948" s="8"/>
      <c r="H948" s="8"/>
      <c r="I948" s="8"/>
      <c r="J948" s="8"/>
    </row>
    <row r="949">
      <c r="G949" s="8"/>
      <c r="H949" s="8"/>
      <c r="I949" s="8"/>
      <c r="J949" s="8"/>
    </row>
    <row r="950">
      <c r="G950" s="8"/>
      <c r="H950" s="8"/>
      <c r="I950" s="8"/>
      <c r="J950" s="8"/>
    </row>
    <row r="951">
      <c r="G951" s="8"/>
      <c r="H951" s="8"/>
      <c r="I951" s="8"/>
      <c r="J951" s="8"/>
    </row>
    <row r="952">
      <c r="G952" s="8"/>
      <c r="H952" s="8"/>
      <c r="I952" s="8"/>
      <c r="J952" s="8"/>
    </row>
    <row r="953">
      <c r="G953" s="8"/>
      <c r="H953" s="8"/>
      <c r="I953" s="8"/>
      <c r="J953" s="8"/>
    </row>
    <row r="954">
      <c r="G954" s="8"/>
      <c r="H954" s="8"/>
      <c r="I954" s="8"/>
      <c r="J954" s="8"/>
    </row>
    <row r="955">
      <c r="G955" s="8"/>
      <c r="H955" s="8"/>
      <c r="I955" s="8"/>
      <c r="J955" s="8"/>
    </row>
    <row r="956">
      <c r="G956" s="8"/>
      <c r="H956" s="8"/>
      <c r="I956" s="8"/>
      <c r="J956" s="8"/>
    </row>
    <row r="957">
      <c r="G957" s="8"/>
      <c r="H957" s="8"/>
      <c r="I957" s="8"/>
      <c r="J957" s="8"/>
    </row>
    <row r="958">
      <c r="G958" s="8"/>
      <c r="H958" s="8"/>
      <c r="I958" s="8"/>
      <c r="J958" s="8"/>
    </row>
    <row r="959">
      <c r="G959" s="8"/>
      <c r="H959" s="8"/>
      <c r="I959" s="8"/>
      <c r="J959" s="8"/>
    </row>
    <row r="960">
      <c r="G960" s="8"/>
      <c r="H960" s="8"/>
      <c r="I960" s="8"/>
      <c r="J960" s="8"/>
    </row>
    <row r="961">
      <c r="G961" s="8"/>
      <c r="H961" s="8"/>
      <c r="I961" s="8"/>
      <c r="J961" s="8"/>
    </row>
    <row r="962">
      <c r="G962" s="8"/>
      <c r="H962" s="8"/>
      <c r="I962" s="8"/>
      <c r="J962" s="8"/>
    </row>
    <row r="963">
      <c r="G963" s="8"/>
      <c r="H963" s="8"/>
      <c r="I963" s="8"/>
      <c r="J963" s="8"/>
    </row>
    <row r="964">
      <c r="G964" s="8"/>
      <c r="H964" s="8"/>
      <c r="I964" s="8"/>
      <c r="J964" s="8"/>
    </row>
    <row r="965">
      <c r="G965" s="8"/>
      <c r="H965" s="8"/>
      <c r="I965" s="8"/>
      <c r="J965" s="8"/>
    </row>
    <row r="966">
      <c r="G966" s="8"/>
      <c r="H966" s="8"/>
      <c r="I966" s="8"/>
      <c r="J966" s="8"/>
    </row>
    <row r="967">
      <c r="G967" s="8"/>
      <c r="H967" s="8"/>
      <c r="I967" s="8"/>
      <c r="J967" s="8"/>
    </row>
    <row r="968">
      <c r="G968" s="8"/>
      <c r="H968" s="8"/>
      <c r="I968" s="8"/>
      <c r="J968" s="8"/>
    </row>
    <row r="969">
      <c r="G969" s="8"/>
      <c r="H969" s="8"/>
      <c r="I969" s="8"/>
      <c r="J969" s="8"/>
    </row>
    <row r="970">
      <c r="G970" s="8"/>
      <c r="H970" s="8"/>
      <c r="I970" s="8"/>
      <c r="J970" s="8"/>
    </row>
    <row r="971">
      <c r="G971" s="8"/>
      <c r="H971" s="8"/>
      <c r="I971" s="8"/>
      <c r="J971" s="8"/>
    </row>
    <row r="972">
      <c r="G972" s="8"/>
      <c r="H972" s="8"/>
      <c r="I972" s="8"/>
      <c r="J972" s="8"/>
    </row>
    <row r="973">
      <c r="G973" s="8"/>
      <c r="H973" s="8"/>
      <c r="I973" s="8"/>
      <c r="J973" s="8"/>
    </row>
    <row r="974">
      <c r="G974" s="8"/>
      <c r="H974" s="8"/>
      <c r="I974" s="8"/>
      <c r="J974" s="8"/>
    </row>
    <row r="975">
      <c r="G975" s="8"/>
      <c r="H975" s="8"/>
      <c r="I975" s="8"/>
      <c r="J975" s="8"/>
    </row>
    <row r="976">
      <c r="G976" s="8"/>
      <c r="H976" s="8"/>
      <c r="I976" s="8"/>
      <c r="J976" s="8"/>
    </row>
    <row r="977">
      <c r="G977" s="8"/>
      <c r="H977" s="8"/>
      <c r="I977" s="8"/>
      <c r="J977" s="8"/>
    </row>
    <row r="978">
      <c r="G978" s="8"/>
      <c r="H978" s="8"/>
      <c r="I978" s="8"/>
      <c r="J978" s="8"/>
    </row>
    <row r="979">
      <c r="G979" s="8"/>
      <c r="H979" s="8"/>
      <c r="I979" s="8"/>
      <c r="J979" s="8"/>
    </row>
    <row r="980">
      <c r="G980" s="8"/>
      <c r="H980" s="8"/>
      <c r="I980" s="8"/>
      <c r="J980" s="8"/>
    </row>
    <row r="981">
      <c r="G981" s="8"/>
      <c r="H981" s="8"/>
      <c r="I981" s="8"/>
      <c r="J981" s="8"/>
    </row>
    <row r="982">
      <c r="G982" s="8"/>
      <c r="H982" s="8"/>
      <c r="I982" s="8"/>
      <c r="J982" s="8"/>
    </row>
    <row r="983">
      <c r="G983" s="8"/>
      <c r="H983" s="8"/>
      <c r="I983" s="8"/>
      <c r="J983" s="8"/>
    </row>
    <row r="984">
      <c r="G984" s="8"/>
      <c r="H984" s="8"/>
      <c r="I984" s="8"/>
      <c r="J984" s="8"/>
    </row>
    <row r="985">
      <c r="G985" s="8"/>
      <c r="H985" s="8"/>
      <c r="I985" s="8"/>
      <c r="J985" s="8"/>
    </row>
    <row r="986">
      <c r="G986" s="8"/>
      <c r="H986" s="8"/>
      <c r="I986" s="8"/>
      <c r="J986" s="8"/>
    </row>
    <row r="987">
      <c r="G987" s="8"/>
      <c r="H987" s="8"/>
      <c r="I987" s="8"/>
      <c r="J987" s="8"/>
    </row>
    <row r="988">
      <c r="G988" s="8"/>
      <c r="H988" s="8"/>
      <c r="I988" s="8"/>
      <c r="J988" s="8"/>
    </row>
    <row r="989">
      <c r="G989" s="8"/>
      <c r="H989" s="8"/>
      <c r="I989" s="8"/>
      <c r="J989" s="8"/>
    </row>
    <row r="990">
      <c r="G990" s="8"/>
      <c r="H990" s="8"/>
      <c r="I990" s="8"/>
      <c r="J990" s="8"/>
    </row>
    <row r="991">
      <c r="G991" s="8"/>
      <c r="H991" s="8"/>
      <c r="I991" s="8"/>
      <c r="J991" s="8"/>
    </row>
    <row r="992">
      <c r="G992" s="8"/>
      <c r="H992" s="8"/>
      <c r="I992" s="8"/>
      <c r="J992" s="8"/>
    </row>
    <row r="993">
      <c r="G993" s="8"/>
      <c r="H993" s="8"/>
      <c r="I993" s="8"/>
      <c r="J993" s="8"/>
    </row>
    <row r="994">
      <c r="G994" s="8"/>
      <c r="H994" s="8"/>
      <c r="I994" s="8"/>
      <c r="J994" s="8"/>
    </row>
    <row r="995">
      <c r="G995" s="8"/>
      <c r="H995" s="8"/>
      <c r="I995" s="8"/>
      <c r="J995" s="8"/>
    </row>
    <row r="996">
      <c r="G996" s="8"/>
      <c r="H996" s="8"/>
      <c r="I996" s="8"/>
      <c r="J996" s="8"/>
    </row>
    <row r="997">
      <c r="G997" s="8"/>
      <c r="H997" s="8"/>
      <c r="I997" s="8"/>
      <c r="J997" s="8"/>
    </row>
    <row r="998">
      <c r="G998" s="8"/>
      <c r="H998" s="8"/>
      <c r="I998" s="8"/>
      <c r="J998" s="8"/>
    </row>
    <row r="999">
      <c r="G999" s="8"/>
      <c r="H999" s="8"/>
      <c r="I999" s="8"/>
      <c r="J999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75"/>
    <col customWidth="1" min="4" max="4" width="14.38"/>
    <col customWidth="1" min="5" max="5" width="8.88"/>
    <col customWidth="1" min="6" max="6" width="12.75"/>
    <col customWidth="1" min="7" max="7" width="20.25"/>
    <col customWidth="1" min="8" max="8" width="16.0"/>
    <col customWidth="1" min="9" max="9" width="12.63"/>
    <col customWidth="1" min="10" max="10" width="21.0"/>
    <col customWidth="1" min="11" max="11" width="8.25"/>
  </cols>
  <sheetData>
    <row r="1">
      <c r="A1" s="12" t="s">
        <v>1046</v>
      </c>
      <c r="B1" s="12" t="s">
        <v>0</v>
      </c>
      <c r="C1" s="1" t="s">
        <v>1047</v>
      </c>
      <c r="D1" s="1" t="s">
        <v>1048</v>
      </c>
      <c r="E1" s="12" t="s">
        <v>2</v>
      </c>
      <c r="F1" s="34" t="s">
        <v>1049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1081</v>
      </c>
      <c r="L1" s="1" t="s">
        <v>1100</v>
      </c>
      <c r="M1" s="1" t="s">
        <v>1101</v>
      </c>
    </row>
    <row r="2">
      <c r="A2" s="1" t="s">
        <v>1102</v>
      </c>
      <c r="B2" s="1" t="s">
        <v>663</v>
      </c>
      <c r="C2" s="37">
        <v>46254.84652777778</v>
      </c>
      <c r="D2" s="1" t="s">
        <v>666</v>
      </c>
      <c r="E2" s="1" t="s">
        <v>667</v>
      </c>
      <c r="F2" s="1" t="s">
        <v>1103</v>
      </c>
      <c r="G2" s="1">
        <v>3.0</v>
      </c>
      <c r="H2" s="1">
        <v>3.0</v>
      </c>
      <c r="I2" s="1">
        <v>4.0</v>
      </c>
      <c r="J2" s="1">
        <v>5.0</v>
      </c>
      <c r="L2" s="1">
        <v>15.0</v>
      </c>
      <c r="M2" s="38" t="s">
        <v>1104</v>
      </c>
    </row>
    <row r="3">
      <c r="C3" s="37"/>
    </row>
    <row r="4">
      <c r="C4" s="37"/>
    </row>
    <row r="5">
      <c r="C5" s="37"/>
    </row>
    <row r="6">
      <c r="C6" s="37"/>
    </row>
    <row r="7">
      <c r="C7" s="37"/>
    </row>
    <row r="8">
      <c r="C8" s="37"/>
    </row>
    <row r="9">
      <c r="C9" s="37"/>
    </row>
    <row r="10">
      <c r="C10" s="37"/>
    </row>
    <row r="11">
      <c r="C11" s="37"/>
    </row>
    <row r="12">
      <c r="C12" s="37"/>
    </row>
    <row r="13">
      <c r="C13" s="37"/>
    </row>
    <row r="14">
      <c r="C14" s="37"/>
    </row>
    <row r="15">
      <c r="C15" s="37"/>
    </row>
    <row r="16">
      <c r="C16" s="37"/>
    </row>
    <row r="17">
      <c r="C17" s="37"/>
    </row>
    <row r="18">
      <c r="C18" s="37"/>
    </row>
    <row r="19">
      <c r="C19" s="37"/>
    </row>
    <row r="20">
      <c r="C20" s="37"/>
    </row>
    <row r="21">
      <c r="C21" s="37"/>
    </row>
    <row r="22">
      <c r="C22" s="37"/>
    </row>
    <row r="23">
      <c r="C23" s="37"/>
    </row>
    <row r="24">
      <c r="C24" s="37"/>
    </row>
    <row r="25">
      <c r="C25" s="37"/>
    </row>
    <row r="26">
      <c r="C26" s="37"/>
    </row>
    <row r="27">
      <c r="C27" s="37"/>
    </row>
    <row r="28">
      <c r="C28" s="37"/>
    </row>
    <row r="29">
      <c r="C29" s="37"/>
    </row>
    <row r="30">
      <c r="C30" s="37"/>
    </row>
    <row r="31">
      <c r="C31" s="37"/>
    </row>
    <row r="32">
      <c r="C32" s="37"/>
    </row>
    <row r="33">
      <c r="C33" s="37"/>
    </row>
    <row r="34">
      <c r="C34" s="37"/>
    </row>
    <row r="35">
      <c r="C35" s="37"/>
    </row>
    <row r="36">
      <c r="C36" s="37"/>
    </row>
    <row r="37">
      <c r="C37" s="37"/>
    </row>
    <row r="38">
      <c r="C38" s="37"/>
    </row>
    <row r="39">
      <c r="C39" s="37"/>
    </row>
    <row r="40">
      <c r="C40" s="37"/>
    </row>
    <row r="41">
      <c r="C41" s="37"/>
    </row>
    <row r="42">
      <c r="C42" s="37"/>
    </row>
    <row r="43">
      <c r="C43" s="37"/>
    </row>
    <row r="44">
      <c r="C44" s="37"/>
    </row>
    <row r="45">
      <c r="C45" s="37"/>
    </row>
    <row r="46">
      <c r="C46" s="37"/>
    </row>
    <row r="47">
      <c r="C47" s="3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6.13"/>
    <col customWidth="1" min="4" max="4" width="34.88"/>
    <col customWidth="1" min="5" max="5" width="16.63"/>
    <col customWidth="1" min="6" max="6" width="13.5"/>
    <col customWidth="1" min="7" max="7" width="8.13"/>
    <col customWidth="1" min="8" max="8" width="30.13"/>
    <col customWidth="1" min="9" max="9" width="31.25"/>
    <col customWidth="1" min="10" max="10" width="20.5"/>
    <col customWidth="1" min="11" max="11" width="21.5"/>
    <col customWidth="1" min="12" max="12" width="14.38"/>
    <col customWidth="1" min="13" max="13" width="15.5"/>
    <col customWidth="1" min="14" max="14" width="17.63"/>
    <col customWidth="1" min="15" max="15" width="18.75"/>
    <col customWidth="1" min="16" max="16" width="18.38"/>
    <col customWidth="1" min="17" max="17" width="19.38"/>
    <col customWidth="1" min="18" max="18" width="26.5"/>
    <col customWidth="1" min="19" max="19" width="27.63"/>
    <col customWidth="1" min="20" max="20" width="33.63"/>
    <col customWidth="1" min="21" max="21" width="34.75"/>
    <col customWidth="1" min="22" max="22" width="35.63"/>
    <col customWidth="1" min="23" max="23" width="36.75"/>
    <col customWidth="1" min="24" max="24" width="37.63"/>
    <col customWidth="1" min="25" max="25" width="38.75"/>
    <col customWidth="1" min="26" max="26" width="29.0"/>
    <col customWidth="1" min="27" max="27" width="30.13"/>
    <col customWidth="1" min="28" max="28" width="23.63"/>
    <col customWidth="1" min="29" max="29" width="24.75"/>
    <col customWidth="1" min="30" max="30" width="40.5"/>
    <col customWidth="1" min="31" max="31" width="41.5"/>
    <col customWidth="1" min="32" max="32" width="44.0"/>
    <col customWidth="1" min="33" max="33" width="45.13"/>
    <col customWidth="1" min="34" max="34" width="31.25"/>
    <col customWidth="1" min="35" max="35" width="32.25"/>
    <col customWidth="1" min="36" max="36" width="46.0"/>
    <col customWidth="1" min="37" max="37" width="47.13"/>
    <col customWidth="1" min="38" max="38" width="52.0"/>
    <col customWidth="1" min="39" max="39" width="53.0"/>
    <col customWidth="1" min="40" max="40" width="30.63"/>
    <col customWidth="1" min="41" max="41" width="31.63"/>
    <col customWidth="1" min="42" max="42" width="33.75"/>
    <col customWidth="1" min="43" max="43" width="34.75"/>
    <col customWidth="1" min="44" max="44" width="20.75"/>
    <col customWidth="1" min="45" max="45" width="21.88"/>
    <col customWidth="1" min="46" max="46" width="15.63"/>
    <col customWidth="1" min="47" max="47" width="16.75"/>
    <col customWidth="1" min="48" max="48" width="35.38"/>
    <col customWidth="1" min="49" max="49" width="36.5"/>
    <col customWidth="1" min="50" max="50" width="20.88"/>
    <col customWidth="1" min="51" max="51" width="21.88"/>
    <col customWidth="1" min="52" max="52" width="8.25"/>
    <col customWidth="1" min="53" max="53" width="21.88"/>
    <col customWidth="1" min="54" max="54" width="17.38"/>
    <col customWidth="1" min="55" max="55" width="14.63"/>
    <col customWidth="1" min="56" max="56" width="16.0"/>
    <col customWidth="1" min="57" max="62" width="34.75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34" t="s">
        <v>1050</v>
      </c>
      <c r="H1" s="34" t="s">
        <v>1105</v>
      </c>
      <c r="I1" s="34" t="s">
        <v>1106</v>
      </c>
      <c r="J1" s="34" t="s">
        <v>1051</v>
      </c>
      <c r="K1" s="34" t="s">
        <v>1052</v>
      </c>
      <c r="L1" s="34" t="s">
        <v>1053</v>
      </c>
      <c r="M1" s="34" t="s">
        <v>1054</v>
      </c>
      <c r="N1" s="34" t="s">
        <v>1055</v>
      </c>
      <c r="O1" s="34" t="s">
        <v>1056</v>
      </c>
      <c r="P1" s="34" t="s">
        <v>1057</v>
      </c>
      <c r="Q1" s="34" t="s">
        <v>1058</v>
      </c>
      <c r="R1" s="34" t="s">
        <v>1059</v>
      </c>
      <c r="S1" s="34" t="s">
        <v>1060</v>
      </c>
      <c r="T1" s="34" t="s">
        <v>1061</v>
      </c>
      <c r="U1" s="34" t="s">
        <v>1062</v>
      </c>
      <c r="V1" s="34" t="s">
        <v>1063</v>
      </c>
      <c r="W1" s="34" t="s">
        <v>1064</v>
      </c>
      <c r="X1" s="34" t="s">
        <v>1065</v>
      </c>
      <c r="Y1" s="34" t="s">
        <v>1066</v>
      </c>
      <c r="Z1" s="34" t="s">
        <v>1067</v>
      </c>
      <c r="AA1" s="34" t="s">
        <v>1068</v>
      </c>
      <c r="AB1" s="34" t="s">
        <v>1069</v>
      </c>
      <c r="AC1" s="34" t="s">
        <v>1070</v>
      </c>
      <c r="AD1" s="34" t="s">
        <v>1107</v>
      </c>
      <c r="AE1" s="34" t="s">
        <v>1108</v>
      </c>
      <c r="AF1" s="34" t="s">
        <v>1109</v>
      </c>
      <c r="AG1" s="34" t="s">
        <v>1110</v>
      </c>
      <c r="AH1" s="34" t="s">
        <v>1073</v>
      </c>
      <c r="AI1" s="34" t="s">
        <v>1074</v>
      </c>
      <c r="AJ1" s="34" t="s">
        <v>1111</v>
      </c>
      <c r="AK1" s="34" t="s">
        <v>1112</v>
      </c>
      <c r="AL1" s="34" t="s">
        <v>1113</v>
      </c>
      <c r="AM1" s="34" t="s">
        <v>1114</v>
      </c>
      <c r="AN1" s="34" t="s">
        <v>1115</v>
      </c>
      <c r="AO1" s="34" t="s">
        <v>1116</v>
      </c>
      <c r="AP1" s="34" t="s">
        <v>1117</v>
      </c>
      <c r="AQ1" s="34" t="s">
        <v>1118</v>
      </c>
      <c r="AR1" s="34" t="s">
        <v>1075</v>
      </c>
      <c r="AS1" s="34" t="s">
        <v>1076</v>
      </c>
      <c r="AT1" s="34" t="s">
        <v>1077</v>
      </c>
      <c r="AU1" s="34" t="s">
        <v>1078</v>
      </c>
      <c r="AV1" s="34" t="s">
        <v>1079</v>
      </c>
      <c r="AW1" s="34" t="s">
        <v>1080</v>
      </c>
      <c r="AX1" s="34" t="s">
        <v>1119</v>
      </c>
      <c r="AY1" s="40" t="s">
        <v>1120</v>
      </c>
      <c r="AZ1" s="34" t="s">
        <v>1081</v>
      </c>
      <c r="BA1" s="34" t="s">
        <v>1082</v>
      </c>
      <c r="BB1" s="34" t="s">
        <v>1083</v>
      </c>
      <c r="BC1" s="34" t="s">
        <v>1084</v>
      </c>
      <c r="BD1" s="34" t="s">
        <v>1085</v>
      </c>
      <c r="BE1" s="40"/>
      <c r="BF1" s="40"/>
      <c r="BG1" s="40"/>
      <c r="BH1" s="40"/>
      <c r="BI1" s="40"/>
      <c r="BJ1" s="40"/>
    </row>
    <row r="2">
      <c r="A2" s="34" t="s">
        <v>1121</v>
      </c>
      <c r="B2" s="34" t="s">
        <v>6</v>
      </c>
      <c r="C2" s="36">
        <v>46255.47012731482</v>
      </c>
      <c r="D2" s="34" t="s">
        <v>49</v>
      </c>
      <c r="E2" s="34" t="s">
        <v>50</v>
      </c>
      <c r="F2" s="34" t="s">
        <v>1122</v>
      </c>
      <c r="G2" s="34">
        <v>2.0</v>
      </c>
      <c r="H2" s="34">
        <v>2.0</v>
      </c>
      <c r="I2" s="34">
        <v>2.0</v>
      </c>
      <c r="J2" s="34">
        <v>2.0</v>
      </c>
      <c r="K2" s="34">
        <v>2.0</v>
      </c>
      <c r="L2" s="34">
        <v>2.0</v>
      </c>
      <c r="M2" s="34">
        <v>2.0</v>
      </c>
      <c r="N2" s="34">
        <v>2.0</v>
      </c>
      <c r="O2" s="34">
        <v>2.0</v>
      </c>
      <c r="P2" s="34">
        <v>2.0</v>
      </c>
      <c r="Q2" s="34">
        <v>2.0</v>
      </c>
      <c r="R2" s="34">
        <v>2.0</v>
      </c>
      <c r="S2" s="34">
        <v>2.0</v>
      </c>
      <c r="T2" s="34">
        <v>2.0</v>
      </c>
      <c r="U2" s="34">
        <v>2.0</v>
      </c>
      <c r="V2" s="34">
        <v>2.0</v>
      </c>
      <c r="W2" s="34">
        <v>2.0</v>
      </c>
      <c r="X2" s="34">
        <v>2.0</v>
      </c>
      <c r="Y2" s="34">
        <v>2.0</v>
      </c>
      <c r="Z2" s="34">
        <v>2.0</v>
      </c>
      <c r="AA2" s="34">
        <v>2.0</v>
      </c>
      <c r="AB2" s="34">
        <v>2.0</v>
      </c>
      <c r="AC2" s="34">
        <v>2.0</v>
      </c>
      <c r="AD2" s="34">
        <v>2.0</v>
      </c>
      <c r="AE2" s="34">
        <v>2.0</v>
      </c>
      <c r="AF2" s="34">
        <v>2.0</v>
      </c>
      <c r="AG2" s="34">
        <v>2.0</v>
      </c>
      <c r="AH2" s="34">
        <v>2.0</v>
      </c>
      <c r="AI2" s="34">
        <v>2.0</v>
      </c>
      <c r="AJ2" s="34">
        <v>2.0</v>
      </c>
      <c r="AK2" s="34">
        <v>2.0</v>
      </c>
      <c r="AL2" s="34">
        <v>2.0</v>
      </c>
      <c r="AM2" s="34">
        <v>2.0</v>
      </c>
      <c r="AN2" s="34">
        <v>2.0</v>
      </c>
      <c r="AO2" s="34">
        <v>2.0</v>
      </c>
      <c r="AP2" s="34">
        <v>2.0</v>
      </c>
      <c r="AQ2" s="34">
        <v>2.0</v>
      </c>
      <c r="AR2" s="34">
        <v>2.0</v>
      </c>
      <c r="AS2" s="34">
        <v>2.0</v>
      </c>
      <c r="AT2" s="34">
        <v>2.0</v>
      </c>
      <c r="AU2" s="34">
        <v>2.0</v>
      </c>
      <c r="AV2" s="34">
        <v>2.0</v>
      </c>
      <c r="AW2" s="34">
        <v>2.0</v>
      </c>
      <c r="AX2" s="34">
        <v>2.0</v>
      </c>
      <c r="AY2" s="34">
        <v>2.0</v>
      </c>
      <c r="AZ2" s="34"/>
      <c r="BA2" s="34">
        <v>44.0</v>
      </c>
      <c r="BB2" s="34">
        <v>44.0</v>
      </c>
      <c r="BC2" s="34">
        <v>90.0</v>
      </c>
      <c r="BD2" s="34">
        <v>39.0</v>
      </c>
      <c r="BE2" s="40"/>
      <c r="BF2" s="40"/>
      <c r="BG2" s="40"/>
      <c r="BH2" s="40"/>
      <c r="BI2" s="40"/>
      <c r="BJ2" s="40"/>
    </row>
    <row r="3">
      <c r="A3" s="34"/>
      <c r="B3" s="34"/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9"/>
      <c r="BF3" s="39"/>
      <c r="BG3" s="39"/>
      <c r="BH3" s="39"/>
      <c r="BI3" s="39"/>
      <c r="BJ3" s="39"/>
    </row>
    <row r="4">
      <c r="A4" s="34"/>
      <c r="B4" s="34"/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9"/>
      <c r="BF4" s="39"/>
      <c r="BG4" s="39"/>
      <c r="BH4" s="39"/>
      <c r="BI4" s="39"/>
      <c r="BJ4" s="39"/>
    </row>
    <row r="5">
      <c r="A5" s="34"/>
      <c r="B5" s="34"/>
      <c r="C5" s="36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9"/>
      <c r="BA5" s="34"/>
      <c r="BB5" s="34"/>
      <c r="BC5" s="34"/>
      <c r="BD5" s="34"/>
      <c r="BE5" s="39"/>
      <c r="BF5" s="39"/>
      <c r="BG5" s="39"/>
      <c r="BH5" s="39"/>
      <c r="BI5" s="39"/>
      <c r="BJ5" s="39"/>
    </row>
    <row r="6">
      <c r="A6" s="34"/>
      <c r="B6" s="34"/>
      <c r="C6" s="36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9"/>
      <c r="BF6" s="39"/>
      <c r="BG6" s="39"/>
      <c r="BH6" s="39"/>
      <c r="BI6" s="39"/>
      <c r="BJ6" s="39"/>
    </row>
    <row r="7">
      <c r="A7" s="34"/>
      <c r="B7" s="34"/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9"/>
      <c r="BA7" s="34"/>
      <c r="BB7" s="34"/>
      <c r="BC7" s="34"/>
      <c r="BD7" s="34"/>
      <c r="BE7" s="39"/>
      <c r="BF7" s="39"/>
      <c r="BG7" s="39"/>
      <c r="BH7" s="39"/>
      <c r="BI7" s="39"/>
      <c r="BJ7" s="39"/>
    </row>
    <row r="8">
      <c r="A8" s="34"/>
      <c r="B8" s="34"/>
      <c r="C8" s="3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9"/>
      <c r="BA8" s="34"/>
      <c r="BB8" s="34"/>
      <c r="BC8" s="34"/>
      <c r="BD8" s="34"/>
      <c r="BE8" s="39"/>
      <c r="BF8" s="39"/>
      <c r="BG8" s="39"/>
      <c r="BH8" s="39"/>
      <c r="BI8" s="39"/>
      <c r="BJ8" s="39"/>
    </row>
    <row r="9">
      <c r="A9" s="34"/>
      <c r="B9" s="34"/>
      <c r="C9" s="36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9"/>
      <c r="BA9" s="34"/>
      <c r="BB9" s="34"/>
      <c r="BC9" s="34"/>
      <c r="BD9" s="34"/>
      <c r="BE9" s="39"/>
      <c r="BF9" s="39"/>
      <c r="BG9" s="39"/>
      <c r="BH9" s="39"/>
      <c r="BI9" s="39"/>
      <c r="BJ9" s="39"/>
    </row>
    <row r="10">
      <c r="A10" s="34"/>
      <c r="B10" s="34"/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9"/>
      <c r="BA10" s="34"/>
      <c r="BB10" s="34"/>
      <c r="BC10" s="34"/>
      <c r="BD10" s="34"/>
      <c r="BE10" s="39"/>
      <c r="BF10" s="39"/>
      <c r="BG10" s="39"/>
      <c r="BH10" s="39"/>
      <c r="BI10" s="39"/>
      <c r="BJ10" s="39"/>
    </row>
    <row r="11">
      <c r="A11" s="34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9"/>
      <c r="BA11" s="34"/>
      <c r="BB11" s="34"/>
      <c r="BC11" s="34"/>
      <c r="BD11" s="34"/>
      <c r="BE11" s="39"/>
      <c r="BF11" s="39"/>
      <c r="BG11" s="39"/>
      <c r="BH11" s="39"/>
      <c r="BI11" s="39"/>
      <c r="BJ11" s="39"/>
    </row>
    <row r="12">
      <c r="A12" s="34"/>
      <c r="B12" s="34"/>
      <c r="C12" s="3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9"/>
      <c r="BF12" s="39"/>
      <c r="BG12" s="39"/>
      <c r="BH12" s="39"/>
      <c r="BI12" s="39"/>
      <c r="BJ12" s="39"/>
    </row>
    <row r="1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9"/>
      <c r="BA13" s="34"/>
      <c r="BB13" s="34"/>
      <c r="BC13" s="34"/>
      <c r="BD13" s="34"/>
      <c r="BE13" s="39"/>
      <c r="BF13" s="39"/>
      <c r="BG13" s="39"/>
      <c r="BH13" s="39"/>
      <c r="BI13" s="39"/>
      <c r="BJ13" s="39"/>
    </row>
    <row r="14">
      <c r="A14" s="34"/>
      <c r="B14" s="34"/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9"/>
      <c r="BA14" s="34"/>
      <c r="BB14" s="34"/>
      <c r="BC14" s="34"/>
      <c r="BD14" s="34"/>
      <c r="BE14" s="39"/>
      <c r="BF14" s="39"/>
      <c r="BG14" s="39"/>
      <c r="BH14" s="39"/>
      <c r="BI14" s="39"/>
      <c r="BJ14" s="39"/>
    </row>
    <row r="15">
      <c r="A15" s="34"/>
      <c r="B15" s="34"/>
      <c r="C15" s="3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9"/>
      <c r="BA15" s="34"/>
      <c r="BB15" s="34"/>
      <c r="BC15" s="34"/>
      <c r="BD15" s="34"/>
      <c r="BE15" s="39"/>
      <c r="BF15" s="39"/>
      <c r="BG15" s="39"/>
      <c r="BH15" s="39"/>
      <c r="BI15" s="39"/>
      <c r="BJ15" s="39"/>
    </row>
    <row r="16">
      <c r="A16" s="34"/>
      <c r="B16" s="34"/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9"/>
      <c r="BA16" s="34"/>
      <c r="BB16" s="34"/>
      <c r="BC16" s="34"/>
      <c r="BD16" s="34"/>
      <c r="BE16" s="39"/>
      <c r="BF16" s="39"/>
      <c r="BG16" s="39"/>
      <c r="BH16" s="39"/>
      <c r="BI16" s="39"/>
      <c r="BJ16" s="39"/>
    </row>
    <row r="17">
      <c r="A17" s="34"/>
      <c r="B17" s="34"/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9"/>
      <c r="BA17" s="34"/>
      <c r="BB17" s="34"/>
      <c r="BC17" s="34"/>
      <c r="BD17" s="34"/>
      <c r="BE17" s="39"/>
      <c r="BF17" s="39"/>
      <c r="BG17" s="39"/>
      <c r="BH17" s="39"/>
      <c r="BI17" s="39"/>
      <c r="BJ17" s="39"/>
    </row>
    <row r="18">
      <c r="A18" s="34"/>
      <c r="B18" s="34"/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9"/>
      <c r="BA18" s="34"/>
      <c r="BB18" s="34"/>
      <c r="BC18" s="34"/>
      <c r="BD18" s="34"/>
      <c r="BE18" s="39"/>
      <c r="BF18" s="39"/>
      <c r="BG18" s="39"/>
      <c r="BH18" s="39"/>
      <c r="BI18" s="39"/>
      <c r="BJ18" s="39"/>
    </row>
    <row r="19">
      <c r="A19" s="34"/>
      <c r="B19" s="34"/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9"/>
      <c r="BA19" s="34"/>
      <c r="BB19" s="34"/>
      <c r="BC19" s="34"/>
      <c r="BD19" s="34"/>
      <c r="BE19" s="39"/>
      <c r="BF19" s="39"/>
      <c r="BG19" s="39"/>
      <c r="BH19" s="39"/>
      <c r="BI19" s="39"/>
      <c r="BJ19" s="39"/>
    </row>
    <row r="20">
      <c r="A20" s="34"/>
      <c r="B20" s="34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9"/>
      <c r="BA20" s="34"/>
      <c r="BB20" s="34"/>
      <c r="BC20" s="34"/>
      <c r="BD20" s="34"/>
      <c r="BE20" s="39"/>
      <c r="BF20" s="39"/>
      <c r="BG20" s="39"/>
      <c r="BH20" s="39"/>
      <c r="BI20" s="39"/>
      <c r="BJ20" s="39"/>
    </row>
    <row r="21">
      <c r="A21" s="34"/>
      <c r="B21" s="34"/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9"/>
      <c r="BA21" s="34"/>
      <c r="BB21" s="34"/>
      <c r="BC21" s="34"/>
      <c r="BD21" s="34"/>
      <c r="BE21" s="39"/>
      <c r="BF21" s="39"/>
      <c r="BG21" s="39"/>
      <c r="BH21" s="39"/>
      <c r="BI21" s="39"/>
      <c r="BJ21" s="39"/>
    </row>
    <row r="22">
      <c r="A22" s="34"/>
      <c r="B22" s="34"/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9"/>
      <c r="BA22" s="34"/>
      <c r="BB22" s="34"/>
      <c r="BC22" s="34"/>
      <c r="BD22" s="34"/>
      <c r="BE22" s="39"/>
      <c r="BF22" s="39"/>
      <c r="BG22" s="39"/>
      <c r="BH22" s="39"/>
      <c r="BI22" s="39"/>
      <c r="BJ22" s="39"/>
    </row>
    <row r="23">
      <c r="A23" s="34"/>
      <c r="B23" s="34"/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9"/>
      <c r="BA23" s="34"/>
      <c r="BB23" s="34"/>
      <c r="BC23" s="34"/>
      <c r="BD23" s="34"/>
      <c r="BE23" s="39"/>
      <c r="BF23" s="39"/>
      <c r="BG23" s="39"/>
      <c r="BH23" s="39"/>
      <c r="BI23" s="39"/>
      <c r="BJ23" s="39"/>
    </row>
    <row r="24">
      <c r="A24" s="34"/>
      <c r="B24" s="34"/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9"/>
      <c r="BA24" s="34"/>
      <c r="BB24" s="34"/>
      <c r="BC24" s="34"/>
      <c r="BD24" s="34"/>
      <c r="BE24" s="39"/>
      <c r="BF24" s="39"/>
      <c r="BG24" s="39"/>
      <c r="BH24" s="39"/>
      <c r="BI24" s="39"/>
      <c r="BJ24" s="39"/>
    </row>
    <row r="25">
      <c r="A25" s="34"/>
      <c r="B25" s="34"/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9"/>
      <c r="BF25" s="39"/>
      <c r="BG25" s="39"/>
      <c r="BH25" s="39"/>
      <c r="BI25" s="39"/>
      <c r="BJ25" s="39"/>
    </row>
    <row r="26">
      <c r="A26" s="34"/>
      <c r="B26" s="34"/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9"/>
      <c r="BA26" s="34"/>
      <c r="BB26" s="34"/>
      <c r="BC26" s="34"/>
      <c r="BD26" s="34"/>
      <c r="BE26" s="39"/>
      <c r="BF26" s="39"/>
      <c r="BG26" s="39"/>
      <c r="BH26" s="39"/>
      <c r="BI26" s="39"/>
      <c r="BJ26" s="39"/>
    </row>
    <row r="27">
      <c r="A27" s="34"/>
      <c r="B27" s="34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9"/>
      <c r="BA27" s="34"/>
      <c r="BB27" s="34"/>
      <c r="BC27" s="34"/>
      <c r="BD27" s="34"/>
      <c r="BE27" s="39"/>
      <c r="BF27" s="39"/>
      <c r="BG27" s="39"/>
      <c r="BH27" s="39"/>
      <c r="BI27" s="39"/>
      <c r="BJ27" s="39"/>
    </row>
    <row r="28">
      <c r="A28" s="34"/>
      <c r="B28" s="34"/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9"/>
      <c r="BA28" s="34"/>
      <c r="BB28" s="34"/>
      <c r="BC28" s="34"/>
      <c r="BD28" s="34"/>
      <c r="BE28" s="39"/>
      <c r="BF28" s="39"/>
      <c r="BG28" s="39"/>
      <c r="BH28" s="39"/>
      <c r="BI28" s="39"/>
      <c r="BJ28" s="39"/>
    </row>
    <row r="29">
      <c r="A29" s="34"/>
      <c r="B29" s="34"/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9"/>
      <c r="BF29" s="39"/>
      <c r="BG29" s="39"/>
      <c r="BH29" s="39"/>
      <c r="BI29" s="39"/>
      <c r="BJ29" s="39"/>
    </row>
    <row r="30">
      <c r="A30" s="34"/>
      <c r="B30" s="34"/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9"/>
      <c r="BA30" s="34"/>
      <c r="BB30" s="34"/>
      <c r="BC30" s="34"/>
      <c r="BD30" s="34"/>
      <c r="BE30" s="39"/>
      <c r="BF30" s="39"/>
      <c r="BG30" s="39"/>
      <c r="BH30" s="39"/>
      <c r="BI30" s="39"/>
      <c r="BJ30" s="39"/>
    </row>
    <row r="31">
      <c r="A31" s="34"/>
      <c r="B31" s="34"/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9"/>
      <c r="BA31" s="34"/>
      <c r="BB31" s="34"/>
      <c r="BC31" s="34"/>
      <c r="BD31" s="34"/>
      <c r="BE31" s="39"/>
      <c r="BF31" s="39"/>
      <c r="BG31" s="39"/>
      <c r="BH31" s="39"/>
      <c r="BI31" s="39"/>
      <c r="BJ31" s="39"/>
    </row>
    <row r="32">
      <c r="A32" s="34"/>
      <c r="B32" s="34"/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9"/>
      <c r="BA32" s="34"/>
      <c r="BB32" s="34"/>
      <c r="BC32" s="34"/>
      <c r="BD32" s="34"/>
      <c r="BE32" s="39"/>
      <c r="BF32" s="39"/>
      <c r="BG32" s="39"/>
      <c r="BH32" s="39"/>
      <c r="BI32" s="39"/>
      <c r="BJ32" s="39"/>
    </row>
    <row r="33">
      <c r="A33" s="34"/>
      <c r="B33" s="34"/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9"/>
      <c r="BA33" s="34"/>
      <c r="BB33" s="34"/>
      <c r="BC33" s="34"/>
      <c r="BD33" s="34"/>
      <c r="BE33" s="39"/>
      <c r="BF33" s="39"/>
      <c r="BG33" s="39"/>
      <c r="BH33" s="39"/>
      <c r="BI33" s="39"/>
      <c r="BJ33" s="39"/>
    </row>
    <row r="34">
      <c r="A34" s="34"/>
      <c r="B34" s="34"/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9"/>
      <c r="BA34" s="34"/>
      <c r="BB34" s="34"/>
      <c r="BC34" s="34"/>
      <c r="BD34" s="34"/>
      <c r="BE34" s="39"/>
      <c r="BF34" s="39"/>
      <c r="BG34" s="39"/>
      <c r="BH34" s="39"/>
      <c r="BI34" s="39"/>
      <c r="BJ34" s="39"/>
    </row>
    <row r="35">
      <c r="A35" s="34"/>
      <c r="B35" s="34"/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9"/>
      <c r="BF35" s="39"/>
      <c r="BG35" s="39"/>
      <c r="BH35" s="39"/>
      <c r="BI35" s="39"/>
      <c r="BJ35" s="39"/>
    </row>
    <row r="36">
      <c r="A36" s="34"/>
      <c r="B36" s="34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9"/>
      <c r="BA36" s="34"/>
      <c r="BB36" s="34"/>
      <c r="BC36" s="34"/>
      <c r="BD36" s="34"/>
      <c r="BE36" s="39"/>
      <c r="BF36" s="39"/>
      <c r="BG36" s="39"/>
      <c r="BH36" s="39"/>
      <c r="BI36" s="39"/>
      <c r="BJ36" s="39"/>
    </row>
    <row r="37">
      <c r="A37" s="34"/>
      <c r="B37" s="34"/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9"/>
      <c r="BF37" s="39"/>
      <c r="BG37" s="39"/>
      <c r="BH37" s="39"/>
      <c r="BI37" s="39"/>
      <c r="BJ37" s="39"/>
    </row>
    <row r="38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9"/>
      <c r="BF38" s="39"/>
      <c r="BG38" s="39"/>
      <c r="BH38" s="39"/>
      <c r="BI38" s="39"/>
      <c r="BJ38" s="39"/>
    </row>
    <row r="39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9"/>
      <c r="BA39" s="34"/>
      <c r="BB39" s="34"/>
      <c r="BC39" s="34"/>
      <c r="BD39" s="34"/>
      <c r="BE39" s="39"/>
      <c r="BF39" s="39"/>
      <c r="BG39" s="39"/>
      <c r="BH39" s="39"/>
      <c r="BI39" s="39"/>
      <c r="BJ39" s="39"/>
    </row>
    <row r="40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9"/>
      <c r="BA40" s="34"/>
      <c r="BB40" s="34"/>
      <c r="BC40" s="34"/>
      <c r="BD40" s="34"/>
      <c r="BE40" s="39"/>
      <c r="BF40" s="39"/>
      <c r="BG40" s="39"/>
      <c r="BH40" s="39"/>
      <c r="BI40" s="39"/>
      <c r="BJ40" s="39"/>
    </row>
    <row r="41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9"/>
      <c r="BA41" s="34"/>
      <c r="BB41" s="34"/>
      <c r="BC41" s="34"/>
      <c r="BD41" s="34"/>
      <c r="BE41" s="39"/>
      <c r="BF41" s="39"/>
      <c r="BG41" s="39"/>
      <c r="BH41" s="39"/>
      <c r="BI41" s="39"/>
      <c r="BJ41" s="39"/>
    </row>
    <row r="42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9"/>
      <c r="BA42" s="34"/>
      <c r="BB42" s="34"/>
      <c r="BC42" s="34"/>
      <c r="BD42" s="34"/>
      <c r="BE42" s="39"/>
      <c r="BF42" s="39"/>
      <c r="BG42" s="39"/>
      <c r="BH42" s="39"/>
      <c r="BI42" s="39"/>
      <c r="BJ42" s="39"/>
    </row>
    <row r="43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9"/>
      <c r="BA43" s="34"/>
      <c r="BB43" s="34"/>
      <c r="BC43" s="34"/>
      <c r="BD43" s="34"/>
      <c r="BE43" s="39"/>
      <c r="BF43" s="39"/>
      <c r="BG43" s="39"/>
      <c r="BH43" s="39"/>
      <c r="BI43" s="39"/>
      <c r="BJ43" s="39"/>
    </row>
    <row r="44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9"/>
      <c r="BA44" s="34"/>
      <c r="BB44" s="34"/>
      <c r="BC44" s="34"/>
      <c r="BD44" s="34"/>
      <c r="BE44" s="39"/>
      <c r="BF44" s="39"/>
      <c r="BG44" s="39"/>
      <c r="BH44" s="39"/>
      <c r="BI44" s="39"/>
      <c r="BJ44" s="39"/>
    </row>
    <row r="4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9"/>
      <c r="BA45" s="34"/>
      <c r="BB45" s="34"/>
      <c r="BC45" s="34"/>
      <c r="BD45" s="34"/>
      <c r="BE45" s="39"/>
      <c r="BF45" s="39"/>
      <c r="BG45" s="39"/>
      <c r="BH45" s="39"/>
      <c r="BI45" s="39"/>
      <c r="BJ45" s="39"/>
    </row>
    <row r="46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9"/>
      <c r="BA46" s="34"/>
      <c r="BB46" s="34"/>
      <c r="BC46" s="34"/>
      <c r="BD46" s="34"/>
      <c r="BE46" s="39"/>
      <c r="BF46" s="39"/>
      <c r="BG46" s="39"/>
      <c r="BH46" s="39"/>
      <c r="BI46" s="39"/>
      <c r="BJ46" s="39"/>
    </row>
    <row r="47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9"/>
      <c r="BA47" s="34"/>
      <c r="BB47" s="34"/>
      <c r="BC47" s="34"/>
      <c r="BD47" s="34"/>
      <c r="BE47" s="39"/>
      <c r="BF47" s="39"/>
      <c r="BG47" s="39"/>
      <c r="BH47" s="39"/>
      <c r="BI47" s="39"/>
      <c r="BJ47" s="39"/>
    </row>
    <row r="48">
      <c r="A48" s="34"/>
      <c r="B48" s="34"/>
      <c r="C48" s="36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9"/>
      <c r="BA48" s="34"/>
      <c r="BB48" s="34"/>
      <c r="BC48" s="34"/>
      <c r="BD48" s="34"/>
      <c r="BE48" s="39"/>
      <c r="BF48" s="39"/>
      <c r="BG48" s="39"/>
      <c r="BH48" s="39"/>
      <c r="BI48" s="39"/>
      <c r="BJ48" s="39"/>
    </row>
    <row r="49">
      <c r="A49" s="34"/>
      <c r="B49" s="34"/>
      <c r="C49" s="36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9"/>
      <c r="BF49" s="39"/>
      <c r="BG49" s="39"/>
      <c r="BH49" s="39"/>
      <c r="BI49" s="39"/>
      <c r="BJ49" s="39"/>
    </row>
    <row r="50">
      <c r="A50" s="34"/>
      <c r="B50" s="34"/>
      <c r="C50" s="36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9"/>
      <c r="BA50" s="34"/>
      <c r="BB50" s="34"/>
      <c r="BC50" s="34"/>
      <c r="BD50" s="34"/>
      <c r="BE50" s="39"/>
      <c r="BF50" s="39"/>
      <c r="BG50" s="39"/>
      <c r="BH50" s="39"/>
      <c r="BI50" s="39"/>
      <c r="BJ50" s="39"/>
    </row>
    <row r="51">
      <c r="A51" s="34"/>
      <c r="B51" s="34"/>
      <c r="C51" s="36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9"/>
      <c r="BA51" s="34"/>
      <c r="BB51" s="34"/>
      <c r="BC51" s="34"/>
      <c r="BD51" s="34"/>
      <c r="BE51" s="39"/>
      <c r="BF51" s="39"/>
      <c r="BG51" s="39"/>
      <c r="BH51" s="39"/>
      <c r="BI51" s="39"/>
      <c r="BJ51" s="39"/>
    </row>
    <row r="52">
      <c r="A52" s="34"/>
      <c r="B52" s="34"/>
      <c r="C52" s="36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9"/>
      <c r="BA52" s="34"/>
      <c r="BB52" s="34"/>
      <c r="BC52" s="34"/>
      <c r="BD52" s="34"/>
      <c r="BE52" s="39"/>
      <c r="BF52" s="39"/>
      <c r="BG52" s="39"/>
      <c r="BH52" s="39"/>
      <c r="BI52" s="39"/>
      <c r="BJ52" s="39"/>
    </row>
    <row r="53">
      <c r="A53" s="34"/>
      <c r="B53" s="34"/>
      <c r="C53" s="36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9"/>
      <c r="BA53" s="34"/>
      <c r="BB53" s="34"/>
      <c r="BC53" s="34"/>
      <c r="BD53" s="34"/>
      <c r="BE53" s="39"/>
      <c r="BF53" s="39"/>
      <c r="BG53" s="39"/>
      <c r="BH53" s="39"/>
      <c r="BI53" s="39"/>
      <c r="BJ53" s="39"/>
    </row>
    <row r="54">
      <c r="A54" s="34"/>
      <c r="B54" s="34"/>
      <c r="C54" s="36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9"/>
      <c r="BF54" s="39"/>
      <c r="BG54" s="39"/>
      <c r="BH54" s="39"/>
      <c r="BI54" s="39"/>
      <c r="BJ54" s="39"/>
    </row>
    <row r="55">
      <c r="A55" s="34"/>
      <c r="B55" s="34"/>
      <c r="C55" s="3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9"/>
      <c r="BA55" s="34"/>
      <c r="BB55" s="34"/>
      <c r="BC55" s="34"/>
      <c r="BD55" s="34"/>
      <c r="BE55" s="39"/>
      <c r="BF55" s="39"/>
      <c r="BG55" s="39"/>
      <c r="BH55" s="39"/>
      <c r="BI55" s="39"/>
      <c r="BJ55" s="39"/>
    </row>
    <row r="56">
      <c r="A56" s="34"/>
      <c r="B56" s="34"/>
      <c r="C56" s="36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9"/>
      <c r="BA56" s="34"/>
      <c r="BB56" s="34"/>
      <c r="BC56" s="34"/>
      <c r="BD56" s="34"/>
      <c r="BE56" s="39"/>
      <c r="BF56" s="39"/>
      <c r="BG56" s="39"/>
      <c r="BH56" s="39"/>
      <c r="BI56" s="39"/>
      <c r="BJ56" s="39"/>
    </row>
    <row r="57">
      <c r="A57" s="34"/>
      <c r="B57" s="34"/>
      <c r="C57" s="36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9"/>
      <c r="BA57" s="34"/>
      <c r="BB57" s="34"/>
      <c r="BC57" s="34"/>
      <c r="BD57" s="34"/>
      <c r="BE57" s="39"/>
      <c r="BF57" s="39"/>
      <c r="BG57" s="39"/>
      <c r="BH57" s="39"/>
      <c r="BI57" s="39"/>
      <c r="BJ57" s="39"/>
    </row>
    <row r="58">
      <c r="A58" s="34"/>
      <c r="B58" s="34"/>
      <c r="C58" s="36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9"/>
      <c r="BF58" s="39"/>
      <c r="BG58" s="39"/>
      <c r="BH58" s="39"/>
      <c r="BI58" s="39"/>
      <c r="BJ58" s="39"/>
    </row>
    <row r="59">
      <c r="A59" s="34"/>
      <c r="B59" s="34"/>
      <c r="C59" s="36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9"/>
      <c r="BA59" s="34"/>
      <c r="BB59" s="34"/>
      <c r="BC59" s="34"/>
      <c r="BD59" s="34"/>
      <c r="BE59" s="39"/>
      <c r="BF59" s="39"/>
      <c r="BG59" s="39"/>
      <c r="BH59" s="39"/>
      <c r="BI59" s="39"/>
      <c r="BJ59" s="39"/>
    </row>
    <row r="60">
      <c r="A60" s="34"/>
      <c r="B60" s="34"/>
      <c r="C60" s="36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9"/>
      <c r="BF60" s="39"/>
      <c r="BG60" s="39"/>
      <c r="BH60" s="39"/>
      <c r="BI60" s="39"/>
      <c r="BJ60" s="39"/>
    </row>
    <row r="61">
      <c r="A61" s="34"/>
      <c r="B61" s="34"/>
      <c r="C61" s="36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9"/>
      <c r="BA61" s="34"/>
      <c r="BB61" s="34"/>
      <c r="BC61" s="34"/>
      <c r="BD61" s="34"/>
      <c r="BE61" s="39"/>
      <c r="BF61" s="39"/>
      <c r="BG61" s="39"/>
      <c r="BH61" s="39"/>
      <c r="BI61" s="39"/>
      <c r="BJ61" s="39"/>
    </row>
    <row r="62">
      <c r="A62" s="34"/>
      <c r="B62" s="34"/>
      <c r="C62" s="36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9"/>
      <c r="BF62" s="39"/>
      <c r="BG62" s="39"/>
      <c r="BH62" s="39"/>
      <c r="BI62" s="39"/>
      <c r="BJ62" s="39"/>
    </row>
    <row r="63">
      <c r="A63" s="34"/>
      <c r="B63" s="34"/>
      <c r="C63" s="3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9"/>
      <c r="BA63" s="34"/>
      <c r="BB63" s="34"/>
      <c r="BC63" s="34"/>
      <c r="BD63" s="34"/>
      <c r="BE63" s="39"/>
      <c r="BF63" s="39"/>
      <c r="BG63" s="39"/>
      <c r="BH63" s="39"/>
      <c r="BI63" s="39"/>
      <c r="BJ63" s="39"/>
    </row>
    <row r="64">
      <c r="A64" s="34"/>
      <c r="B64" s="34"/>
      <c r="C64" s="36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9"/>
      <c r="BA64" s="34"/>
      <c r="BB64" s="34"/>
      <c r="BC64" s="34"/>
      <c r="BD64" s="34"/>
      <c r="BE64" s="39"/>
      <c r="BF64" s="39"/>
      <c r="BG64" s="39"/>
      <c r="BH64" s="39"/>
      <c r="BI64" s="39"/>
      <c r="BJ64" s="39"/>
    </row>
    <row r="65">
      <c r="A65" s="34"/>
      <c r="B65" s="34"/>
      <c r="C65" s="36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9"/>
      <c r="BA65" s="34"/>
      <c r="BB65" s="34"/>
      <c r="BC65" s="34"/>
      <c r="BD65" s="34"/>
      <c r="BE65" s="39"/>
      <c r="BF65" s="39"/>
      <c r="BG65" s="39"/>
      <c r="BH65" s="39"/>
      <c r="BI65" s="39"/>
      <c r="BJ65" s="39"/>
    </row>
    <row r="66">
      <c r="A66" s="34"/>
      <c r="B66" s="34"/>
      <c r="C66" s="36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9"/>
      <c r="BA66" s="34"/>
      <c r="BB66" s="34"/>
      <c r="BC66" s="34"/>
      <c r="BD66" s="34"/>
      <c r="BE66" s="39"/>
      <c r="BF66" s="39"/>
      <c r="BG66" s="39"/>
      <c r="BH66" s="39"/>
      <c r="BI66" s="39"/>
      <c r="BJ66" s="39"/>
    </row>
    <row r="67">
      <c r="A67" s="34"/>
      <c r="B67" s="34"/>
      <c r="C67" s="36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9"/>
      <c r="BF67" s="39"/>
      <c r="BG67" s="39"/>
      <c r="BH67" s="39"/>
      <c r="BI67" s="39"/>
      <c r="BJ67" s="39"/>
    </row>
    <row r="68">
      <c r="A68" s="34"/>
      <c r="B68" s="34"/>
      <c r="C68" s="36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9"/>
      <c r="BF68" s="39"/>
      <c r="BG68" s="39"/>
      <c r="BH68" s="39"/>
      <c r="BI68" s="39"/>
      <c r="BJ68" s="39"/>
    </row>
    <row r="69">
      <c r="A69" s="34"/>
      <c r="B69" s="34"/>
      <c r="C69" s="36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9"/>
      <c r="BA69" s="34"/>
      <c r="BB69" s="34"/>
      <c r="BC69" s="34"/>
      <c r="BD69" s="34"/>
      <c r="BE69" s="39"/>
      <c r="BF69" s="39"/>
      <c r="BG69" s="39"/>
      <c r="BH69" s="39"/>
      <c r="BI69" s="39"/>
      <c r="BJ69" s="39"/>
    </row>
    <row r="70">
      <c r="A70" s="34"/>
      <c r="B70" s="34"/>
      <c r="C70" s="36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9"/>
      <c r="BA70" s="34"/>
      <c r="BB70" s="34"/>
      <c r="BC70" s="34"/>
      <c r="BD70" s="34"/>
      <c r="BE70" s="39"/>
      <c r="BF70" s="39"/>
      <c r="BG70" s="39"/>
      <c r="BH70" s="39"/>
      <c r="BI70" s="39"/>
      <c r="BJ70" s="39"/>
    </row>
    <row r="71">
      <c r="A71" s="34"/>
      <c r="B71" s="34"/>
      <c r="C71" s="36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9"/>
      <c r="BA71" s="34"/>
      <c r="BB71" s="34"/>
      <c r="BC71" s="34"/>
      <c r="BD71" s="34"/>
      <c r="BE71" s="39"/>
      <c r="BF71" s="39"/>
      <c r="BG71" s="39"/>
      <c r="BH71" s="39"/>
      <c r="BI71" s="39"/>
      <c r="BJ71" s="39"/>
    </row>
    <row r="72">
      <c r="A72" s="34"/>
      <c r="B72" s="34"/>
      <c r="C72" s="36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9"/>
      <c r="BF72" s="39"/>
      <c r="BG72" s="39"/>
      <c r="BH72" s="39"/>
      <c r="BI72" s="39"/>
      <c r="BJ72" s="39"/>
    </row>
    <row r="73">
      <c r="A73" s="34"/>
      <c r="B73" s="34"/>
      <c r="C73" s="36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9"/>
      <c r="BA73" s="34"/>
      <c r="BB73" s="34"/>
      <c r="BC73" s="34"/>
      <c r="BD73" s="34"/>
      <c r="BE73" s="39"/>
      <c r="BF73" s="39"/>
      <c r="BG73" s="39"/>
      <c r="BH73" s="39"/>
      <c r="BI73" s="39"/>
      <c r="BJ73" s="39"/>
    </row>
    <row r="74">
      <c r="A74" s="34"/>
      <c r="B74" s="34"/>
      <c r="C74" s="36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9"/>
      <c r="BA74" s="34"/>
      <c r="BB74" s="34"/>
      <c r="BC74" s="34"/>
      <c r="BD74" s="34"/>
      <c r="BE74" s="39"/>
      <c r="BF74" s="39"/>
      <c r="BG74" s="39"/>
      <c r="BH74" s="39"/>
      <c r="BI74" s="39"/>
      <c r="BJ74" s="39"/>
    </row>
    <row r="75">
      <c r="A75" s="34"/>
      <c r="B75" s="34"/>
      <c r="C75" s="36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9"/>
      <c r="BA75" s="34"/>
      <c r="BB75" s="34"/>
      <c r="BC75" s="34"/>
      <c r="BD75" s="34"/>
      <c r="BE75" s="39"/>
      <c r="BF75" s="39"/>
      <c r="BG75" s="39"/>
      <c r="BH75" s="39"/>
      <c r="BI75" s="39"/>
      <c r="BJ75" s="39"/>
    </row>
    <row r="76">
      <c r="A76" s="34"/>
      <c r="B76" s="34"/>
      <c r="C76" s="36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9"/>
      <c r="BA76" s="34"/>
      <c r="BB76" s="34"/>
      <c r="BC76" s="34"/>
      <c r="BD76" s="34"/>
      <c r="BE76" s="39"/>
      <c r="BF76" s="39"/>
      <c r="BG76" s="39"/>
      <c r="BH76" s="39"/>
      <c r="BI76" s="39"/>
      <c r="BJ76" s="39"/>
    </row>
    <row r="77">
      <c r="A77" s="34"/>
      <c r="B77" s="34"/>
      <c r="C77" s="36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9"/>
      <c r="BA77" s="34"/>
      <c r="BB77" s="34"/>
      <c r="BC77" s="34"/>
      <c r="BD77" s="34"/>
      <c r="BE77" s="39"/>
      <c r="BF77" s="39"/>
      <c r="BG77" s="39"/>
      <c r="BH77" s="39"/>
      <c r="BI77" s="39"/>
      <c r="BJ77" s="39"/>
    </row>
    <row r="78">
      <c r="A78" s="34"/>
      <c r="B78" s="34"/>
      <c r="C78" s="36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9"/>
      <c r="BA78" s="34"/>
      <c r="BB78" s="34"/>
      <c r="BC78" s="34"/>
      <c r="BD78" s="34"/>
      <c r="BE78" s="39"/>
      <c r="BF78" s="39"/>
      <c r="BG78" s="39"/>
      <c r="BH78" s="39"/>
      <c r="BI78" s="39"/>
      <c r="BJ78" s="39"/>
    </row>
    <row r="79">
      <c r="A79" s="34"/>
      <c r="B79" s="34"/>
      <c r="C79" s="36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9"/>
      <c r="BA79" s="34"/>
      <c r="BB79" s="34"/>
      <c r="BC79" s="34"/>
      <c r="BD79" s="34"/>
      <c r="BE79" s="39"/>
      <c r="BF79" s="39"/>
      <c r="BG79" s="39"/>
      <c r="BH79" s="39"/>
      <c r="BI79" s="39"/>
      <c r="BJ79" s="39"/>
    </row>
    <row r="80">
      <c r="A80" s="34"/>
      <c r="B80" s="34"/>
      <c r="C80" s="36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9"/>
      <c r="BF80" s="39"/>
      <c r="BG80" s="39"/>
      <c r="BH80" s="39"/>
      <c r="BI80" s="39"/>
      <c r="BJ80" s="39"/>
    </row>
    <row r="81">
      <c r="A81" s="34"/>
      <c r="B81" s="34"/>
      <c r="C81" s="36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9"/>
      <c r="BA81" s="34"/>
      <c r="BB81" s="34"/>
      <c r="BC81" s="34"/>
      <c r="BD81" s="34"/>
      <c r="BE81" s="39"/>
      <c r="BF81" s="39"/>
      <c r="BG81" s="39"/>
      <c r="BH81" s="39"/>
      <c r="BI81" s="39"/>
      <c r="BJ81" s="39"/>
    </row>
    <row r="82">
      <c r="A82" s="34"/>
      <c r="B82" s="34"/>
      <c r="C82" s="36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9"/>
      <c r="BF82" s="39"/>
      <c r="BG82" s="39"/>
      <c r="BH82" s="39"/>
      <c r="BI82" s="39"/>
      <c r="BJ82" s="39"/>
    </row>
    <row r="83">
      <c r="A83" s="34"/>
      <c r="B83" s="34"/>
      <c r="C83" s="36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9"/>
      <c r="BA83" s="34"/>
      <c r="BB83" s="34"/>
      <c r="BC83" s="34"/>
      <c r="BD83" s="34"/>
      <c r="BE83" s="39"/>
      <c r="BF83" s="39"/>
      <c r="BG83" s="39"/>
      <c r="BH83" s="39"/>
      <c r="BI83" s="39"/>
      <c r="BJ83" s="39"/>
    </row>
    <row r="84">
      <c r="A84" s="34"/>
      <c r="B84" s="34"/>
      <c r="C84" s="36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9"/>
      <c r="BA84" s="34"/>
      <c r="BB84" s="34"/>
      <c r="BC84" s="34"/>
      <c r="BD84" s="34"/>
      <c r="BE84" s="39"/>
      <c r="BF84" s="39"/>
      <c r="BG84" s="39"/>
      <c r="BH84" s="39"/>
      <c r="BI84" s="39"/>
      <c r="BJ84" s="39"/>
    </row>
    <row r="85">
      <c r="A85" s="34"/>
      <c r="B85" s="34"/>
      <c r="C85" s="36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9"/>
      <c r="BF85" s="39"/>
      <c r="BG85" s="39"/>
      <c r="BH85" s="39"/>
      <c r="BI85" s="39"/>
      <c r="BJ85" s="39"/>
    </row>
    <row r="86">
      <c r="A86" s="34"/>
      <c r="B86" s="34"/>
      <c r="C86" s="36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9"/>
      <c r="BA86" s="34"/>
      <c r="BB86" s="34"/>
      <c r="BC86" s="34"/>
      <c r="BD86" s="34"/>
      <c r="BE86" s="39"/>
      <c r="BF86" s="39"/>
      <c r="BG86" s="39"/>
      <c r="BH86" s="39"/>
      <c r="BI86" s="39"/>
      <c r="BJ86" s="39"/>
    </row>
    <row r="87">
      <c r="A87" s="34"/>
      <c r="B87" s="34"/>
      <c r="C87" s="36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9"/>
      <c r="BA87" s="34"/>
      <c r="BB87" s="34"/>
      <c r="BC87" s="34"/>
      <c r="BD87" s="34"/>
      <c r="BE87" s="39"/>
      <c r="BF87" s="39"/>
      <c r="BG87" s="39"/>
      <c r="BH87" s="39"/>
      <c r="BI87" s="39"/>
      <c r="BJ87" s="39"/>
    </row>
    <row r="88">
      <c r="A88" s="34"/>
      <c r="B88" s="34"/>
      <c r="C88" s="36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9"/>
      <c r="BA88" s="34"/>
      <c r="BB88" s="34"/>
      <c r="BC88" s="34"/>
      <c r="BD88" s="34"/>
      <c r="BE88" s="39"/>
      <c r="BF88" s="39"/>
      <c r="BG88" s="39"/>
      <c r="BH88" s="39"/>
      <c r="BI88" s="39"/>
      <c r="BJ88" s="39"/>
    </row>
    <row r="89">
      <c r="A89" s="34"/>
      <c r="B89" s="34"/>
      <c r="C89" s="36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9"/>
      <c r="BA89" s="34"/>
      <c r="BB89" s="34"/>
      <c r="BC89" s="34"/>
      <c r="BD89" s="34"/>
      <c r="BE89" s="39"/>
      <c r="BF89" s="39"/>
      <c r="BG89" s="39"/>
      <c r="BH89" s="39"/>
      <c r="BI89" s="39"/>
      <c r="BJ89" s="39"/>
    </row>
    <row r="90">
      <c r="A90" s="34"/>
      <c r="B90" s="34"/>
      <c r="C90" s="36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9"/>
      <c r="BA90" s="34"/>
      <c r="BB90" s="34"/>
      <c r="BC90" s="34"/>
      <c r="BD90" s="34"/>
      <c r="BE90" s="39"/>
      <c r="BF90" s="39"/>
      <c r="BG90" s="39"/>
      <c r="BH90" s="39"/>
      <c r="BI90" s="39"/>
      <c r="BJ90" s="39"/>
    </row>
    <row r="91">
      <c r="A91" s="34"/>
      <c r="B91" s="34"/>
      <c r="C91" s="36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9"/>
      <c r="BA91" s="34"/>
      <c r="BB91" s="34"/>
      <c r="BC91" s="34"/>
      <c r="BD91" s="34"/>
      <c r="BE91" s="39"/>
      <c r="BF91" s="39"/>
      <c r="BG91" s="39"/>
      <c r="BH91" s="39"/>
      <c r="BI91" s="39"/>
      <c r="BJ91" s="39"/>
    </row>
    <row r="92">
      <c r="A92" s="34"/>
      <c r="B92" s="34"/>
      <c r="C92" s="36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9"/>
      <c r="BA92" s="34"/>
      <c r="BB92" s="34"/>
      <c r="BC92" s="34"/>
      <c r="BD92" s="34"/>
      <c r="BE92" s="39"/>
      <c r="BF92" s="39"/>
      <c r="BG92" s="39"/>
      <c r="BH92" s="39"/>
      <c r="BI92" s="39"/>
      <c r="BJ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25"/>
    <col customWidth="1" min="4" max="4" width="13.88"/>
    <col customWidth="1" min="5" max="5" width="8.88"/>
    <col customWidth="1" min="6" max="6" width="13.5"/>
    <col customWidth="1" min="7" max="7" width="21.88"/>
    <col customWidth="1" min="8" max="8" width="28.5"/>
    <col customWidth="1" min="9" max="9" width="12.63"/>
    <col customWidth="1" min="10" max="10" width="8.25"/>
    <col customWidth="1" min="11" max="11" width="19.38"/>
    <col customWidth="1" min="12" max="12" width="20.25"/>
  </cols>
  <sheetData>
    <row r="1">
      <c r="A1" s="34" t="s">
        <v>1046</v>
      </c>
      <c r="B1" s="34" t="s">
        <v>0</v>
      </c>
      <c r="C1" s="34" t="s">
        <v>1047</v>
      </c>
      <c r="D1" s="34" t="s">
        <v>1048</v>
      </c>
      <c r="E1" s="34" t="s">
        <v>2</v>
      </c>
      <c r="F1" s="34" t="s">
        <v>1049</v>
      </c>
      <c r="G1" s="1" t="s">
        <v>1123</v>
      </c>
      <c r="H1" s="12" t="s">
        <v>1124</v>
      </c>
      <c r="I1" s="12" t="s">
        <v>1087</v>
      </c>
      <c r="J1" s="1" t="s">
        <v>1081</v>
      </c>
      <c r="K1" s="1" t="s">
        <v>1089</v>
      </c>
      <c r="L1" s="1" t="s">
        <v>1090</v>
      </c>
    </row>
    <row r="2">
      <c r="C2" s="37"/>
    </row>
    <row r="3">
      <c r="C3" s="37"/>
    </row>
    <row r="4">
      <c r="C4" s="37"/>
    </row>
    <row r="5">
      <c r="C5" s="37"/>
    </row>
    <row r="6">
      <c r="C6" s="37"/>
    </row>
    <row r="7">
      <c r="C7" s="37"/>
    </row>
    <row r="8">
      <c r="C8" s="37"/>
    </row>
    <row r="9">
      <c r="C9" s="37"/>
    </row>
    <row r="10">
      <c r="C10" s="37"/>
    </row>
    <row r="11">
      <c r="C11" s="37"/>
    </row>
    <row r="12">
      <c r="C12" s="37"/>
    </row>
    <row r="13">
      <c r="C13" s="37"/>
    </row>
    <row r="14">
      <c r="C14" s="37"/>
    </row>
    <row r="15">
      <c r="C15" s="37"/>
    </row>
    <row r="16">
      <c r="C16" s="37"/>
    </row>
    <row r="17">
      <c r="C17" s="37"/>
    </row>
    <row r="18">
      <c r="C18" s="37"/>
    </row>
    <row r="19">
      <c r="C19" s="37"/>
    </row>
    <row r="20">
      <c r="C20" s="37"/>
    </row>
    <row r="21">
      <c r="C21" s="37"/>
    </row>
    <row r="22">
      <c r="C22" s="37"/>
    </row>
    <row r="23">
      <c r="C23" s="37"/>
    </row>
    <row r="24">
      <c r="C24" s="37"/>
    </row>
    <row r="25">
      <c r="C25" s="37"/>
    </row>
    <row r="26">
      <c r="C26" s="37"/>
    </row>
    <row r="27">
      <c r="C27" s="37"/>
    </row>
    <row r="28">
      <c r="C28" s="37"/>
    </row>
    <row r="29">
      <c r="C29" s="37"/>
    </row>
    <row r="30">
      <c r="C30" s="37"/>
    </row>
    <row r="31">
      <c r="C31" s="37"/>
    </row>
    <row r="32">
      <c r="C32" s="37"/>
    </row>
    <row r="33">
      <c r="C33" s="37"/>
    </row>
    <row r="34">
      <c r="C34" s="37"/>
    </row>
    <row r="35">
      <c r="C35" s="37"/>
    </row>
    <row r="36">
      <c r="C36" s="37"/>
    </row>
    <row r="37">
      <c r="C37" s="37"/>
    </row>
    <row r="38">
      <c r="C38" s="37"/>
    </row>
    <row r="39">
      <c r="C39" s="37"/>
    </row>
    <row r="40">
      <c r="C40" s="37"/>
    </row>
    <row r="41">
      <c r="C41" s="37"/>
    </row>
    <row r="42">
      <c r="C42" s="37"/>
    </row>
    <row r="43">
      <c r="C43" s="37"/>
    </row>
    <row r="44">
      <c r="C44" s="37"/>
    </row>
    <row r="45">
      <c r="C45" s="37"/>
    </row>
    <row r="46">
      <c r="C46" s="37"/>
    </row>
    <row r="47">
      <c r="C47" s="37"/>
    </row>
    <row r="48">
      <c r="C48" s="37"/>
    </row>
    <row r="49">
      <c r="C49" s="37"/>
    </row>
    <row r="50">
      <c r="C50" s="37"/>
    </row>
    <row r="51">
      <c r="C51" s="37"/>
    </row>
    <row r="52">
      <c r="C52" s="37"/>
    </row>
    <row r="53">
      <c r="C53" s="37"/>
    </row>
    <row r="54">
      <c r="C54" s="37"/>
    </row>
    <row r="55">
      <c r="C55" s="37"/>
    </row>
    <row r="56">
      <c r="C56" s="37"/>
    </row>
    <row r="57">
      <c r="C57" s="37"/>
    </row>
    <row r="58">
      <c r="C58" s="37"/>
    </row>
    <row r="59">
      <c r="C59" s="37"/>
    </row>
    <row r="60">
      <c r="C60" s="37"/>
    </row>
    <row r="61">
      <c r="C61" s="37"/>
    </row>
    <row r="62"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2.25"/>
    <col customWidth="1" min="4" max="4" width="13.88"/>
    <col customWidth="1" min="5" max="5" width="8.88"/>
    <col customWidth="1" min="6" max="6" width="13.5"/>
    <col customWidth="1" min="7" max="7" width="17.5"/>
    <col customWidth="1" min="8" max="8" width="14.5"/>
    <col customWidth="1" min="9" max="9" width="13.38"/>
    <col customWidth="1" min="10" max="10" width="17.88"/>
    <col customWidth="1" min="11" max="11" width="12.63"/>
    <col customWidth="1" min="12" max="12" width="8.25"/>
    <col customWidth="1" min="13" max="13" width="14.38"/>
    <col customWidth="1" min="14" max="14" width="15.75"/>
  </cols>
  <sheetData>
    <row r="1">
      <c r="A1" s="12" t="s">
        <v>1046</v>
      </c>
      <c r="B1" s="12" t="s">
        <v>0</v>
      </c>
      <c r="C1" s="1" t="s">
        <v>1047</v>
      </c>
      <c r="D1" s="1" t="s">
        <v>1048</v>
      </c>
      <c r="E1" s="12" t="s">
        <v>2</v>
      </c>
      <c r="F1" s="34" t="s">
        <v>1049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  <c r="L1" s="1" t="s">
        <v>1081</v>
      </c>
      <c r="M1" s="1" t="s">
        <v>1100</v>
      </c>
      <c r="N1" s="1" t="s">
        <v>1101</v>
      </c>
    </row>
    <row r="2">
      <c r="C2" s="37"/>
    </row>
    <row r="3">
      <c r="C3" s="37"/>
    </row>
    <row r="4">
      <c r="C4" s="37"/>
    </row>
    <row r="5">
      <c r="C5" s="37"/>
    </row>
    <row r="6">
      <c r="C6" s="37"/>
    </row>
    <row r="7">
      <c r="C7" s="37"/>
    </row>
    <row r="8">
      <c r="C8" s="37"/>
    </row>
    <row r="9">
      <c r="C9" s="37"/>
    </row>
    <row r="10">
      <c r="C10" s="37"/>
    </row>
    <row r="11">
      <c r="C11" s="37"/>
    </row>
    <row r="12">
      <c r="C12" s="37"/>
    </row>
    <row r="13">
      <c r="C13" s="37"/>
    </row>
    <row r="14">
      <c r="C14" s="37"/>
    </row>
    <row r="15">
      <c r="C15" s="37"/>
    </row>
    <row r="16">
      <c r="C16" s="37"/>
    </row>
    <row r="17">
      <c r="C17" s="37"/>
    </row>
    <row r="18">
      <c r="C18" s="37"/>
    </row>
    <row r="19">
      <c r="C19" s="37"/>
    </row>
    <row r="20">
      <c r="C20" s="37"/>
    </row>
    <row r="21">
      <c r="C21" s="37"/>
    </row>
    <row r="22">
      <c r="C22" s="37"/>
    </row>
    <row r="23">
      <c r="C23" s="37"/>
    </row>
    <row r="24">
      <c r="C24" s="37"/>
    </row>
    <row r="25">
      <c r="C25" s="37"/>
    </row>
    <row r="26">
      <c r="C26" s="37"/>
    </row>
    <row r="27">
      <c r="C27" s="37"/>
    </row>
    <row r="28">
      <c r="C28" s="37"/>
    </row>
    <row r="29">
      <c r="C29" s="37"/>
    </row>
    <row r="30">
      <c r="C30" s="37"/>
    </row>
    <row r="31">
      <c r="C31" s="37"/>
    </row>
    <row r="32">
      <c r="C32" s="37"/>
    </row>
    <row r="33">
      <c r="C33" s="37"/>
    </row>
    <row r="34">
      <c r="C34" s="37"/>
    </row>
    <row r="35">
      <c r="C35" s="37"/>
    </row>
    <row r="36">
      <c r="C36" s="37"/>
    </row>
    <row r="37">
      <c r="C37" s="37"/>
    </row>
    <row r="38">
      <c r="C38" s="37"/>
    </row>
    <row r="39">
      <c r="C39" s="37"/>
    </row>
    <row r="40">
      <c r="C40" s="37"/>
    </row>
    <row r="41">
      <c r="C41" s="37"/>
    </row>
    <row r="42">
      <c r="C42" s="37"/>
    </row>
    <row r="43">
      <c r="C43" s="37"/>
    </row>
    <row r="44">
      <c r="C44" s="37"/>
    </row>
    <row r="45">
      <c r="C45" s="37"/>
    </row>
    <row r="46">
      <c r="C46" s="37"/>
    </row>
    <row r="47">
      <c r="C47" s="37"/>
    </row>
    <row r="48">
      <c r="C48" s="37"/>
    </row>
    <row r="49">
      <c r="C49" s="37"/>
    </row>
    <row r="50">
      <c r="C50" s="37"/>
    </row>
    <row r="51">
      <c r="C51" s="37"/>
    </row>
    <row r="52">
      <c r="C52" s="37"/>
    </row>
    <row r="53">
      <c r="C53" s="37"/>
    </row>
    <row r="54">
      <c r="C54" s="37"/>
    </row>
    <row r="55">
      <c r="C55" s="37"/>
    </row>
    <row r="56">
      <c r="C56" s="37"/>
    </row>
    <row r="57">
      <c r="C57" s="37"/>
    </row>
    <row r="58">
      <c r="C58" s="37"/>
    </row>
    <row r="59">
      <c r="C59" s="37"/>
    </row>
    <row r="60">
      <c r="C60" s="37"/>
    </row>
    <row r="61">
      <c r="C61" s="37"/>
    </row>
    <row r="62">
      <c r="C62" s="37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</sheetData>
  <drawing r:id="rId1"/>
</worksheet>
</file>